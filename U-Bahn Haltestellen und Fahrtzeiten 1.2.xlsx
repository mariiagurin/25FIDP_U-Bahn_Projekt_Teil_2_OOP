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UserS2025\Documents\_US_FIDP\AnwP-UML-OOP\U-Bahn-Projekt 2.0\Project Owner Idee\"/>
    </mc:Choice>
  </mc:AlternateContent>
  <xr:revisionPtr revIDLastSave="0" documentId="8_{1F6583B6-2CCE-4DD2-ADDF-55035A0027E1}" xr6:coauthVersionLast="47" xr6:coauthVersionMax="47" xr10:uidLastSave="{00000000-0000-0000-0000-000000000000}"/>
  <bookViews>
    <workbookView xWindow="-28920" yWindow="-105" windowWidth="29040" windowHeight="15720" activeTab="7" xr2:uid="{7576551D-8EA1-49ED-AFDD-FC9287DB7652}"/>
  </bookViews>
  <sheets>
    <sheet name="Anleitung" sheetId="11" r:id="rId1"/>
    <sheet name="U-Bahn Haltestellen" sheetId="2" r:id="rId2"/>
    <sheet name="Fahrplan U1" sheetId="1" r:id="rId3"/>
    <sheet name="Fahrplan U2" sheetId="4" r:id="rId4"/>
    <sheet name="Fahrplan U3" sheetId="5" r:id="rId5"/>
    <sheet name="U1-Test" sheetId="8" r:id="rId6"/>
    <sheet name="U2-Test" sheetId="9" r:id="rId7"/>
    <sheet name="U3-Test" sheetId="10" r:id="rId8"/>
  </sheets>
  <definedNames>
    <definedName name="ExterneDaten_1" localSheetId="1" hidden="1">'U-Bahn Haltestellen'!$A$1:$D$48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1" i="10" l="1"/>
  <c r="K22" i="10"/>
  <c r="K16" i="10"/>
  <c r="K14" i="10"/>
  <c r="K18" i="10" s="1"/>
  <c r="E3" i="10"/>
  <c r="F3" i="10"/>
  <c r="E4" i="10" s="1"/>
  <c r="M31" i="9"/>
  <c r="K22" i="9"/>
  <c r="K16" i="9"/>
  <c r="K14" i="9"/>
  <c r="E3" i="9"/>
  <c r="F3" i="9"/>
  <c r="F4" i="9" s="1"/>
  <c r="E5" i="9" s="1"/>
  <c r="K22" i="8"/>
  <c r="K16" i="8"/>
  <c r="K14" i="8"/>
  <c r="E3" i="8"/>
  <c r="F3" i="8"/>
  <c r="F4" i="8" s="1"/>
  <c r="M31" i="5"/>
  <c r="K22" i="5"/>
  <c r="K16" i="5"/>
  <c r="K14" i="5"/>
  <c r="E3" i="5"/>
  <c r="F3" i="5"/>
  <c r="E4" i="5" s="1"/>
  <c r="K22" i="4"/>
  <c r="K16" i="4"/>
  <c r="K14" i="4"/>
  <c r="E3" i="4"/>
  <c r="F3" i="4"/>
  <c r="E4" i="4" s="1"/>
  <c r="E3" i="1"/>
  <c r="F3" i="1"/>
  <c r="F4" i="1" s="1"/>
  <c r="F5" i="1" s="1"/>
  <c r="F6" i="1" s="1"/>
  <c r="F7" i="1" s="1"/>
  <c r="F8" i="1" s="1"/>
  <c r="F9" i="1" s="1"/>
  <c r="F10" i="1" s="1"/>
  <c r="F11" i="1" s="1"/>
  <c r="F12" i="1" s="1"/>
  <c r="F13" i="1" s="1"/>
  <c r="F14" i="1" s="1"/>
  <c r="F15" i="1" s="1"/>
  <c r="F16" i="1" s="1"/>
  <c r="F17" i="1" s="1"/>
  <c r="F18" i="1" s="1"/>
  <c r="F19" i="1" s="1"/>
  <c r="F20" i="1" s="1"/>
  <c r="F21" i="1" s="1"/>
  <c r="F22" i="1" s="1"/>
  <c r="F23" i="1" s="1"/>
  <c r="F24" i="1" s="1"/>
  <c r="G23" i="1" s="1"/>
  <c r="K22" i="1"/>
  <c r="K16" i="1"/>
  <c r="K14" i="1"/>
  <c r="K18" i="9" l="1"/>
  <c r="K20" i="9" s="1"/>
  <c r="E4" i="9"/>
  <c r="K18" i="8"/>
  <c r="K24" i="8" s="1"/>
  <c r="K26" i="8" s="1"/>
  <c r="K20" i="10"/>
  <c r="K24" i="10"/>
  <c r="K26" i="10" s="1"/>
  <c r="F4" i="10"/>
  <c r="F5" i="9"/>
  <c r="E5" i="8"/>
  <c r="F5" i="8"/>
  <c r="K20" i="8"/>
  <c r="E4" i="8"/>
  <c r="K18" i="4"/>
  <c r="K24" i="4" s="1"/>
  <c r="K26" i="4" s="1"/>
  <c r="E21" i="1"/>
  <c r="E19" i="1"/>
  <c r="E13" i="1"/>
  <c r="H23" i="1"/>
  <c r="E5" i="1"/>
  <c r="E18" i="1"/>
  <c r="E4" i="1"/>
  <c r="E22" i="1"/>
  <c r="E20" i="1"/>
  <c r="E17" i="1"/>
  <c r="E16" i="1"/>
  <c r="E15" i="1"/>
  <c r="E14" i="1"/>
  <c r="E6" i="1"/>
  <c r="E9" i="1"/>
  <c r="E11" i="1"/>
  <c r="E8" i="1"/>
  <c r="E24" i="1"/>
  <c r="E12" i="1"/>
  <c r="E10" i="1"/>
  <c r="E23" i="1"/>
  <c r="E7" i="1"/>
  <c r="F4" i="5"/>
  <c r="E5" i="5" s="1"/>
  <c r="K18" i="5"/>
  <c r="K24" i="5" s="1"/>
  <c r="K26" i="5" s="1"/>
  <c r="F4" i="4"/>
  <c r="K18" i="1"/>
  <c r="K24" i="1" s="1"/>
  <c r="K26" i="1" s="1"/>
  <c r="K20" i="4" l="1"/>
  <c r="K24" i="9"/>
  <c r="K26" i="9" s="1"/>
  <c r="E5" i="10"/>
  <c r="F5" i="10"/>
  <c r="F6" i="9"/>
  <c r="E6" i="9"/>
  <c r="F6" i="8"/>
  <c r="E6" i="8"/>
  <c r="F5" i="5"/>
  <c r="E6" i="5" s="1"/>
  <c r="H22" i="1"/>
  <c r="G22" i="1"/>
  <c r="K20" i="5"/>
  <c r="F6" i="5"/>
  <c r="E5" i="4"/>
  <c r="F5" i="4"/>
  <c r="K20" i="1"/>
  <c r="E6" i="10" l="1"/>
  <c r="F6" i="10"/>
  <c r="E7" i="9"/>
  <c r="F7" i="9"/>
  <c r="E7" i="8"/>
  <c r="F7" i="8"/>
  <c r="H21" i="1"/>
  <c r="G21" i="1"/>
  <c r="F7" i="5"/>
  <c r="E7" i="5"/>
  <c r="E6" i="4"/>
  <c r="F6" i="4"/>
  <c r="F7" i="10" l="1"/>
  <c r="E7" i="10"/>
  <c r="E8" i="9"/>
  <c r="F8" i="9"/>
  <c r="E8" i="8"/>
  <c r="F8" i="8"/>
  <c r="H20" i="1"/>
  <c r="G20" i="1"/>
  <c r="E8" i="5"/>
  <c r="F8" i="5"/>
  <c r="F7" i="4"/>
  <c r="E7" i="4"/>
  <c r="E8" i="10" l="1"/>
  <c r="F8" i="10"/>
  <c r="F9" i="9"/>
  <c r="E9" i="9"/>
  <c r="E9" i="8"/>
  <c r="F9" i="8"/>
  <c r="H19" i="1"/>
  <c r="G19" i="1"/>
  <c r="E9" i="5"/>
  <c r="F9" i="5"/>
  <c r="E8" i="4"/>
  <c r="F8" i="4"/>
  <c r="E9" i="10" l="1"/>
  <c r="F9" i="10"/>
  <c r="F10" i="9"/>
  <c r="E10" i="9"/>
  <c r="F10" i="8"/>
  <c r="E10" i="8"/>
  <c r="G18" i="1"/>
  <c r="H18" i="1"/>
  <c r="E10" i="5"/>
  <c r="F10" i="5"/>
  <c r="E9" i="4"/>
  <c r="F9" i="4"/>
  <c r="E10" i="10" l="1"/>
  <c r="F10" i="10"/>
  <c r="E11" i="9"/>
  <c r="F11" i="9"/>
  <c r="F11" i="8"/>
  <c r="E11" i="8"/>
  <c r="G17" i="1"/>
  <c r="H17" i="1"/>
  <c r="F11" i="5"/>
  <c r="E11" i="5"/>
  <c r="E10" i="4"/>
  <c r="F10" i="4"/>
  <c r="E11" i="10" l="1"/>
  <c r="F11" i="10"/>
  <c r="E12" i="9"/>
  <c r="F12" i="9"/>
  <c r="E12" i="8"/>
  <c r="F12" i="8"/>
  <c r="H16" i="1"/>
  <c r="G16" i="1"/>
  <c r="F12" i="5"/>
  <c r="E12" i="5"/>
  <c r="F11" i="4"/>
  <c r="E11" i="4"/>
  <c r="E12" i="10" l="1"/>
  <c r="F12" i="10"/>
  <c r="E13" i="9"/>
  <c r="F13" i="9"/>
  <c r="F13" i="8"/>
  <c r="E13" i="8"/>
  <c r="H11" i="5"/>
  <c r="G11" i="5"/>
  <c r="G15" i="1"/>
  <c r="H15" i="1"/>
  <c r="E12" i="4"/>
  <c r="F12" i="4"/>
  <c r="G11" i="10" l="1"/>
  <c r="H11" i="10"/>
  <c r="F14" i="9"/>
  <c r="E14" i="9"/>
  <c r="F14" i="8"/>
  <c r="E14" i="8"/>
  <c r="H14" i="1"/>
  <c r="G14" i="1"/>
  <c r="E13" i="4"/>
  <c r="F13" i="4"/>
  <c r="G10" i="10" l="1"/>
  <c r="H10" i="10"/>
  <c r="F15" i="9"/>
  <c r="E15" i="9"/>
  <c r="E15" i="8"/>
  <c r="F15" i="8"/>
  <c r="G13" i="1"/>
  <c r="H13" i="1"/>
  <c r="E14" i="4"/>
  <c r="F14" i="4"/>
  <c r="G9" i="10" l="1"/>
  <c r="H9" i="10"/>
  <c r="F16" i="9"/>
  <c r="E16" i="9"/>
  <c r="E16" i="8"/>
  <c r="F16" i="8"/>
  <c r="G12" i="1"/>
  <c r="H12" i="1"/>
  <c r="E15" i="4"/>
  <c r="F15" i="4"/>
  <c r="G8" i="10" l="1"/>
  <c r="H8" i="10"/>
  <c r="F17" i="9"/>
  <c r="E17" i="9"/>
  <c r="E17" i="8"/>
  <c r="F17" i="8"/>
  <c r="G11" i="1"/>
  <c r="H11" i="1"/>
  <c r="E16" i="4"/>
  <c r="F16" i="4"/>
  <c r="G7" i="10" l="1"/>
  <c r="H7" i="10"/>
  <c r="H16" i="9"/>
  <c r="G16" i="9"/>
  <c r="F18" i="8"/>
  <c r="E18" i="8"/>
  <c r="E17" i="4"/>
  <c r="F17" i="4"/>
  <c r="G10" i="1"/>
  <c r="H10" i="1"/>
  <c r="G6" i="10" l="1"/>
  <c r="H6" i="10"/>
  <c r="H15" i="9"/>
  <c r="G15" i="9"/>
  <c r="F19" i="8"/>
  <c r="E19" i="8"/>
  <c r="G16" i="4"/>
  <c r="H16" i="4"/>
  <c r="H15" i="4" s="1"/>
  <c r="H14" i="4" s="1"/>
  <c r="H13" i="4" s="1"/>
  <c r="H12" i="4" s="1"/>
  <c r="H11" i="4" s="1"/>
  <c r="H10" i="4" s="1"/>
  <c r="H9" i="4" s="1"/>
  <c r="H8" i="4" s="1"/>
  <c r="H7" i="4" s="1"/>
  <c r="H6" i="4" s="1"/>
  <c r="H5" i="4" s="1"/>
  <c r="H4" i="4" s="1"/>
  <c r="H3" i="4" s="1"/>
  <c r="G9" i="1"/>
  <c r="H9" i="1"/>
  <c r="G5" i="10" l="1"/>
  <c r="H5" i="10"/>
  <c r="G14" i="9"/>
  <c r="H14" i="9"/>
  <c r="F20" i="8"/>
  <c r="E20" i="8"/>
  <c r="H8" i="1"/>
  <c r="G8" i="1"/>
  <c r="G4" i="10" l="1"/>
  <c r="H4" i="10"/>
  <c r="G13" i="9"/>
  <c r="H13" i="9"/>
  <c r="F21" i="8"/>
  <c r="E21" i="8"/>
  <c r="G7" i="1"/>
  <c r="H7" i="1"/>
  <c r="G3" i="10" l="1"/>
  <c r="H3" i="10"/>
  <c r="G2" i="10" s="1"/>
  <c r="G12" i="9"/>
  <c r="H12" i="9"/>
  <c r="E22" i="8"/>
  <c r="F22" i="8"/>
  <c r="H6" i="1"/>
  <c r="G6" i="1"/>
  <c r="G11" i="9" l="1"/>
  <c r="H11" i="9"/>
  <c r="F23" i="8"/>
  <c r="E23" i="8"/>
  <c r="G5" i="1"/>
  <c r="H5" i="1"/>
  <c r="G10" i="9" l="1"/>
  <c r="H10" i="9"/>
  <c r="E24" i="8"/>
  <c r="F24" i="8"/>
  <c r="G4" i="1"/>
  <c r="H4" i="1"/>
  <c r="G10" i="5"/>
  <c r="H10" i="5"/>
  <c r="G9" i="9" l="1"/>
  <c r="H9" i="9"/>
  <c r="H23" i="8"/>
  <c r="G23" i="8"/>
  <c r="H3" i="1"/>
  <c r="G2" i="1" s="1"/>
  <c r="G3" i="1"/>
  <c r="G9" i="5"/>
  <c r="H9" i="5"/>
  <c r="H8" i="9" l="1"/>
  <c r="G8" i="9"/>
  <c r="G22" i="8"/>
  <c r="H22" i="8"/>
  <c r="H8" i="5"/>
  <c r="G8" i="5"/>
  <c r="H7" i="9" l="1"/>
  <c r="G7" i="9"/>
  <c r="G21" i="8"/>
  <c r="H21" i="8"/>
  <c r="H7" i="5"/>
  <c r="G7" i="5"/>
  <c r="M31" i="4"/>
  <c r="G6" i="9" l="1"/>
  <c r="H6" i="9"/>
  <c r="G20" i="8"/>
  <c r="H20" i="8"/>
  <c r="G6" i="5"/>
  <c r="H6" i="5"/>
  <c r="G5" i="9" l="1"/>
  <c r="H5" i="9"/>
  <c r="G19" i="8"/>
  <c r="H19" i="8"/>
  <c r="H5" i="5"/>
  <c r="G5" i="5"/>
  <c r="H4" i="9" l="1"/>
  <c r="G4" i="9"/>
  <c r="G18" i="8"/>
  <c r="H18" i="8"/>
  <c r="H4" i="5"/>
  <c r="G4" i="5"/>
  <c r="H3" i="9" l="1"/>
  <c r="G2" i="9" s="1"/>
  <c r="G3" i="9"/>
  <c r="H17" i="8"/>
  <c r="G17" i="8"/>
  <c r="H3" i="5"/>
  <c r="G2" i="5" s="1"/>
  <c r="G3" i="5"/>
  <c r="G16" i="8" l="1"/>
  <c r="H16" i="8"/>
  <c r="G15" i="4"/>
  <c r="H15" i="8" l="1"/>
  <c r="G15" i="8"/>
  <c r="G14" i="4"/>
  <c r="H14" i="8" l="1"/>
  <c r="G14" i="8"/>
  <c r="G13" i="4"/>
  <c r="G13" i="8" l="1"/>
  <c r="H13" i="8"/>
  <c r="G12" i="4"/>
  <c r="G12" i="8" l="1"/>
  <c r="H12" i="8"/>
  <c r="G11" i="4"/>
  <c r="G11" i="8" l="1"/>
  <c r="H11" i="8"/>
  <c r="G10" i="4"/>
  <c r="G10" i="8" l="1"/>
  <c r="H10" i="8"/>
  <c r="G9" i="4"/>
  <c r="G9" i="8" l="1"/>
  <c r="H9" i="8"/>
  <c r="G8" i="4"/>
  <c r="G8" i="8" l="1"/>
  <c r="H8" i="8"/>
  <c r="G7" i="4"/>
  <c r="H7" i="8" l="1"/>
  <c r="G7" i="8"/>
  <c r="G6" i="4"/>
  <c r="H6" i="8" l="1"/>
  <c r="G6" i="8"/>
  <c r="G5" i="4"/>
  <c r="G5" i="8" l="1"/>
  <c r="H5" i="8"/>
  <c r="G4" i="4"/>
  <c r="G4" i="8" l="1"/>
  <c r="H4" i="8"/>
  <c r="G3" i="4"/>
  <c r="G2" i="4"/>
  <c r="G3" i="8" l="1"/>
  <c r="H3" i="8"/>
  <c r="G2"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A280D0-A0BC-469A-A246-8F99B60170A2}" keepAlive="1" name="Abfrage - U-Bahn Haltestellen" description="Verbindung mit der Abfrage 'U-Bahn Haltestellen' in der Arbeitsmappe." type="5" refreshedVersion="8" background="1" saveData="1">
    <dbPr connection="Provider=Microsoft.Mashup.OleDb.1;Data Source=$Workbook$;Location=&quot;U-Bahn Haltestellen&quot;;Extended Properties=&quot;&quot;" command="SELECT * FROM [U-Bahn Haltestellen]"/>
  </connection>
</connections>
</file>

<file path=xl/sharedStrings.xml><?xml version="1.0" encoding="utf-8"?>
<sst xmlns="http://schemas.openxmlformats.org/spreadsheetml/2006/main" count="423" uniqueCount="79">
  <si>
    <t>U1</t>
  </si>
  <si>
    <t>Langwasser Süd</t>
  </si>
  <si>
    <t>Gemeinschaftshaus</t>
  </si>
  <si>
    <t>Langwasser Mitte</t>
  </si>
  <si>
    <t>Scharfreiterring</t>
  </si>
  <si>
    <t>Langwasser Nord</t>
  </si>
  <si>
    <t>Messe</t>
  </si>
  <si>
    <t>Bauernfeindstraße</t>
  </si>
  <si>
    <t>Hasenbuck</t>
  </si>
  <si>
    <t>Frankenstraße</t>
  </si>
  <si>
    <t>Maffeiplatz</t>
  </si>
  <si>
    <t>Aufseßplatz</t>
  </si>
  <si>
    <t>Hauptbahnhof</t>
  </si>
  <si>
    <t>Lorenzkirche</t>
  </si>
  <si>
    <t>Weißer Turm</t>
  </si>
  <si>
    <t>Plärrer</t>
  </si>
  <si>
    <t>Gostenhof</t>
  </si>
  <si>
    <t>Bärenschanze</t>
  </si>
  <si>
    <t>Maximilianstraße</t>
  </si>
  <si>
    <t>Eberhardshof</t>
  </si>
  <si>
    <t>Muggenhof</t>
  </si>
  <si>
    <t>Stadtgrenze</t>
  </si>
  <si>
    <t>Jakobinenstraße</t>
  </si>
  <si>
    <t>Fürth Hbf.</t>
  </si>
  <si>
    <t>U2</t>
  </si>
  <si>
    <t>Röthenbach</t>
  </si>
  <si>
    <t>Hohe Marter</t>
  </si>
  <si>
    <t>Schweinau</t>
  </si>
  <si>
    <t>St. Leonhard</t>
  </si>
  <si>
    <t>Rothenburger Straße</t>
  </si>
  <si>
    <t>Opernhaus</t>
  </si>
  <si>
    <t>Wöhrder Wiese</t>
  </si>
  <si>
    <t>Rathenauplatz</t>
  </si>
  <si>
    <t>Rennweg</t>
  </si>
  <si>
    <t>Schoppershof</t>
  </si>
  <si>
    <t>Nordostbahnhof</t>
  </si>
  <si>
    <t>Herrnhütte</t>
  </si>
  <si>
    <t>Ziegelstein</t>
  </si>
  <si>
    <t>Flughafen</t>
  </si>
  <si>
    <t>U3</t>
  </si>
  <si>
    <t>Gustav-Adolf-Straße</t>
  </si>
  <si>
    <t>Sündersbühl</t>
  </si>
  <si>
    <t>Maxfeld</t>
  </si>
  <si>
    <t>Kaulbachplatz</t>
  </si>
  <si>
    <t>Friedrich-Ebert-Platz</t>
  </si>
  <si>
    <t>Linie</t>
  </si>
  <si>
    <t>Haltestelle</t>
  </si>
  <si>
    <t>Fahrtzeit</t>
  </si>
  <si>
    <t>nächste Haltestelle</t>
  </si>
  <si>
    <t>47 Stationen</t>
  </si>
  <si>
    <t>bis Ende</t>
  </si>
  <si>
    <t>bis Anfang</t>
  </si>
  <si>
    <t>mal</t>
  </si>
  <si>
    <t>Fahrtzeit eine Richtung ohne Stops in min</t>
  </si>
  <si>
    <t>Stops hin in sec</t>
  </si>
  <si>
    <t>Ankunft Endhaltestelle nach sec</t>
  </si>
  <si>
    <t>Ankunft Endhaltestelle nach min</t>
  </si>
  <si>
    <t>Ankunft Starthaltestelle nach min</t>
  </si>
  <si>
    <t>Stops zurück in sec</t>
  </si>
  <si>
    <t>Ankunft Starthaltestelle nach sec</t>
  </si>
  <si>
    <t>Haltezeit</t>
  </si>
  <si>
    <t>=E2+(C2/1440)+(D3/86400)</t>
  </si>
  <si>
    <t>Abfahrt rück</t>
  </si>
  <si>
    <t>Abfahrt hin</t>
  </si>
  <si>
    <t>Ankunft hin</t>
  </si>
  <si>
    <t>Ankunft rück</t>
  </si>
  <si>
    <t>Formel Abfahrt hin E3:</t>
  </si>
  <si>
    <t>Formel Abfahrt zurück F23:</t>
  </si>
  <si>
    <t>=E24+(C23/1440)+(D23/86400)</t>
  </si>
  <si>
    <t>Formel Abfahrt zurück F22:</t>
  </si>
  <si>
    <t xml:space="preserve">Kennwort Blattschutz: </t>
  </si>
  <si>
    <t>Schutz</t>
  </si>
  <si>
    <t>gilt für alle Blätter!</t>
  </si>
  <si>
    <t>=F23+(C22/1440)+(D22/86400)</t>
  </si>
  <si>
    <t>Zu Testzwecken sind die Tabs U1-Test bis U3-Test gedacht.</t>
  </si>
  <si>
    <t>Hat man eine Tabelle unbrauchbar gemacht, kann man einfach die entsprechenden Zellen (oder eben die gesamte Tabelle) aus dem entsprechenden Tab "Fahrplan U1" usw. kopieren.</t>
  </si>
  <si>
    <t>Dazu muss der Blattschutz aufgehoben werden. Passwort ist "Schutz". Am besten aktiviert man danach den Blattschutz wieder.</t>
  </si>
  <si>
    <t>Wenn dort nur in den orangenen Feldern Eingaben gemacht werden, bleibt die Tabelle jeweils erhalten.</t>
  </si>
  <si>
    <t>Man kann auch in anderen Feldern Eingaben machen, muss dann aber die Formel in der Zelle wiederherstellen (Das Quadrat an der Ecke rechts unten in der Zell darüber herunterziehen, das funktioniert aber je nachdem in Zellen ganz oben / ganz unten nicht.)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</si>
</sst>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1" x14ac:knownFonts="1">
    <font>
      <sz val="11"/>
      <color theme="1"/>
      <name val="Aptos Narrow"/>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0" fillId="0" borderId="0" xfId="0" quotePrefix="1"/>
    <xf numFmtId="0" fontId="0" fillId="0" borderId="0" xfId="0" applyAlignment="1">
      <alignment horizontal="center"/>
    </xf>
    <xf numFmtId="164" fontId="0" fillId="0" borderId="0" xfId="0" applyNumberFormat="1" applyAlignment="1">
      <alignment horizontal="center"/>
    </xf>
    <xf numFmtId="164" fontId="0" fillId="2" borderId="1" xfId="0" applyNumberFormat="1" applyFill="1" applyBorder="1" applyAlignment="1">
      <alignment horizontal="center"/>
    </xf>
    <xf numFmtId="0" fontId="0" fillId="0" borderId="1" xfId="0" applyBorder="1"/>
    <xf numFmtId="0" fontId="0" fillId="2" borderId="1" xfId="0" applyFill="1" applyBorder="1"/>
    <xf numFmtId="0" fontId="0" fillId="3" borderId="1" xfId="0" applyFill="1" applyBorder="1"/>
    <xf numFmtId="0" fontId="0" fillId="0" borderId="1" xfId="0" applyBorder="1" applyAlignment="1">
      <alignment horizontal="center"/>
    </xf>
    <xf numFmtId="164" fontId="0" fillId="3" borderId="1" xfId="0" applyNumberFormat="1" applyFill="1" applyBorder="1" applyAlignment="1">
      <alignment horizontal="center"/>
    </xf>
    <xf numFmtId="164" fontId="0" fillId="0" borderId="1" xfId="0" applyNumberFormat="1" applyBorder="1" applyAlignment="1">
      <alignment horizontal="center"/>
    </xf>
    <xf numFmtId="164" fontId="0" fillId="4" borderId="1" xfId="0" applyNumberFormat="1" applyFill="1" applyBorder="1" applyAlignment="1">
      <alignment horizontal="center"/>
    </xf>
  </cellXfs>
  <cellStyles count="1">
    <cellStyle name="Standard"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3F77978B-14C3-4666-8411-02E9F543B997}"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2BD848-C6CA-4B88-AA07-EDF3BAFE018B}" name="U_Bahn_Haltestellen" displayName="U_Bahn_Haltestellen" ref="A1:D48" tableType="queryTable" totalsRowShown="0">
  <autoFilter ref="A1:D48" xr:uid="{F22BD848-C6CA-4B88-AA07-EDF3BAFE018B}"/>
  <tableColumns count="4">
    <tableColumn id="1" xr3:uid="{0EC1FAB3-B465-4947-9EB3-0DD9DAEA8BC2}" uniqueName="1" name="Linie" queryTableFieldId="1" dataDxfId="2"/>
    <tableColumn id="2" xr3:uid="{CD5F8F2D-E3E2-40BC-BF6E-014762730AEC}" uniqueName="2" name="Haltestelle" queryTableFieldId="2" dataDxfId="1"/>
    <tableColumn id="3" xr3:uid="{EBF63ED2-3B45-4598-82C6-BB720B9A70DF}" uniqueName="3" name="Fahrtzeit" queryTableFieldId="3"/>
    <tableColumn id="4" xr3:uid="{167917B6-4512-4D77-AFB4-578252D2F931}" uniqueName="4" name="nächste Haltestelle"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199C4-3B11-439C-A290-8A112FA85DA1}">
  <dimension ref="B2:B6"/>
  <sheetViews>
    <sheetView workbookViewId="0">
      <selection activeCell="D13" sqref="D13"/>
    </sheetView>
  </sheetViews>
  <sheetFormatPr baseColWidth="10" defaultRowHeight="15" x14ac:dyDescent="0.25"/>
  <sheetData>
    <row r="2" spans="2:2" x14ac:dyDescent="0.25">
      <c r="B2" t="s">
        <v>74</v>
      </c>
    </row>
    <row r="3" spans="2:2" x14ac:dyDescent="0.25">
      <c r="B3" t="s">
        <v>77</v>
      </c>
    </row>
    <row r="4" spans="2:2" x14ac:dyDescent="0.25">
      <c r="B4" t="s">
        <v>78</v>
      </c>
    </row>
    <row r="5" spans="2:2" x14ac:dyDescent="0.25">
      <c r="B5" t="s">
        <v>75</v>
      </c>
    </row>
    <row r="6" spans="2:2" x14ac:dyDescent="0.25">
      <c r="B6" t="s">
        <v>76</v>
      </c>
    </row>
  </sheetData>
  <sheetProtection algorithmName="SHA-512" hashValue="qkRFC8JQzUTwKeaSBVSRr2SnD0zBHI/R/powWt8G8G/k4cTH7kqpu2Gf56qrUEYFZlTyt8CK2LReNQF+1jDhFw==" saltValue="VoEXyW5XfB1Y6WEuc5RDkA==" spinCount="100000" sheet="1" objects="1" scenarios="1"/>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09233-EFAA-42B4-BACB-1694DDF648EF}">
  <dimension ref="A1:H48"/>
  <sheetViews>
    <sheetView workbookViewId="0">
      <selection activeCell="E53" sqref="E53"/>
    </sheetView>
  </sheetViews>
  <sheetFormatPr baseColWidth="10" defaultRowHeight="15" x14ac:dyDescent="0.25"/>
  <cols>
    <col min="2" max="2" width="18.85546875" bestFit="1" customWidth="1"/>
    <col min="4" max="4" width="19.140625" bestFit="1" customWidth="1"/>
  </cols>
  <sheetData>
    <row r="1" spans="1:8" x14ac:dyDescent="0.25">
      <c r="A1" t="s">
        <v>45</v>
      </c>
      <c r="B1" t="s">
        <v>46</v>
      </c>
      <c r="C1" t="s">
        <v>47</v>
      </c>
      <c r="D1" t="s">
        <v>48</v>
      </c>
    </row>
    <row r="2" spans="1:8" x14ac:dyDescent="0.25">
      <c r="A2" t="s">
        <v>0</v>
      </c>
      <c r="B2" t="s">
        <v>1</v>
      </c>
      <c r="C2">
        <v>3</v>
      </c>
      <c r="D2" t="s">
        <v>2</v>
      </c>
      <c r="F2" t="s">
        <v>70</v>
      </c>
      <c r="H2" t="s">
        <v>71</v>
      </c>
    </row>
    <row r="3" spans="1:8" x14ac:dyDescent="0.25">
      <c r="A3" t="s">
        <v>0</v>
      </c>
      <c r="B3" t="s">
        <v>2</v>
      </c>
      <c r="C3">
        <v>2</v>
      </c>
      <c r="D3" t="s">
        <v>3</v>
      </c>
      <c r="F3" t="s">
        <v>72</v>
      </c>
    </row>
    <row r="4" spans="1:8" x14ac:dyDescent="0.25">
      <c r="A4" t="s">
        <v>0</v>
      </c>
      <c r="B4" t="s">
        <v>3</v>
      </c>
      <c r="C4">
        <v>2</v>
      </c>
      <c r="D4" t="s">
        <v>4</v>
      </c>
    </row>
    <row r="5" spans="1:8" x14ac:dyDescent="0.25">
      <c r="A5" t="s">
        <v>0</v>
      </c>
      <c r="B5" t="s">
        <v>4</v>
      </c>
      <c r="C5">
        <v>3</v>
      </c>
      <c r="D5" t="s">
        <v>5</v>
      </c>
    </row>
    <row r="6" spans="1:8" x14ac:dyDescent="0.25">
      <c r="A6" t="s">
        <v>0</v>
      </c>
      <c r="B6" t="s">
        <v>5</v>
      </c>
      <c r="C6">
        <v>2</v>
      </c>
      <c r="D6" t="s">
        <v>6</v>
      </c>
    </row>
    <row r="7" spans="1:8" x14ac:dyDescent="0.25">
      <c r="A7" t="s">
        <v>0</v>
      </c>
      <c r="B7" t="s">
        <v>6</v>
      </c>
      <c r="C7">
        <v>3</v>
      </c>
      <c r="D7" t="s">
        <v>7</v>
      </c>
    </row>
    <row r="8" spans="1:8" x14ac:dyDescent="0.25">
      <c r="A8" t="s">
        <v>0</v>
      </c>
      <c r="B8" t="s">
        <v>7</v>
      </c>
      <c r="C8">
        <v>2</v>
      </c>
      <c r="D8" t="s">
        <v>8</v>
      </c>
    </row>
    <row r="9" spans="1:8" x14ac:dyDescent="0.25">
      <c r="A9" t="s">
        <v>0</v>
      </c>
      <c r="B9" t="s">
        <v>8</v>
      </c>
      <c r="C9">
        <v>2</v>
      </c>
      <c r="D9" t="s">
        <v>9</v>
      </c>
    </row>
    <row r="10" spans="1:8" x14ac:dyDescent="0.25">
      <c r="A10" t="s">
        <v>0</v>
      </c>
      <c r="B10" t="s">
        <v>9</v>
      </c>
      <c r="C10">
        <v>2</v>
      </c>
      <c r="D10" t="s">
        <v>10</v>
      </c>
    </row>
    <row r="11" spans="1:8" x14ac:dyDescent="0.25">
      <c r="A11" t="s">
        <v>0</v>
      </c>
      <c r="B11" t="s">
        <v>10</v>
      </c>
      <c r="C11">
        <v>1</v>
      </c>
      <c r="D11" t="s">
        <v>11</v>
      </c>
    </row>
    <row r="12" spans="1:8" x14ac:dyDescent="0.25">
      <c r="A12" t="s">
        <v>0</v>
      </c>
      <c r="B12" t="s">
        <v>11</v>
      </c>
      <c r="C12">
        <v>2</v>
      </c>
      <c r="D12" t="s">
        <v>12</v>
      </c>
    </row>
    <row r="13" spans="1:8" x14ac:dyDescent="0.25">
      <c r="A13" t="s">
        <v>0</v>
      </c>
      <c r="B13" t="s">
        <v>12</v>
      </c>
      <c r="C13">
        <v>2</v>
      </c>
      <c r="D13" t="s">
        <v>13</v>
      </c>
    </row>
    <row r="14" spans="1:8" x14ac:dyDescent="0.25">
      <c r="A14" t="s">
        <v>0</v>
      </c>
      <c r="B14" t="s">
        <v>13</v>
      </c>
      <c r="C14">
        <v>3</v>
      </c>
      <c r="D14" t="s">
        <v>14</v>
      </c>
    </row>
    <row r="15" spans="1:8" x14ac:dyDescent="0.25">
      <c r="A15" t="s">
        <v>0</v>
      </c>
      <c r="B15" t="s">
        <v>14</v>
      </c>
      <c r="C15">
        <v>2</v>
      </c>
      <c r="D15" t="s">
        <v>15</v>
      </c>
    </row>
    <row r="16" spans="1:8" x14ac:dyDescent="0.25">
      <c r="A16" t="s">
        <v>0</v>
      </c>
      <c r="B16" t="s">
        <v>15</v>
      </c>
      <c r="C16">
        <v>2</v>
      </c>
      <c r="D16" t="s">
        <v>16</v>
      </c>
    </row>
    <row r="17" spans="1:4" x14ac:dyDescent="0.25">
      <c r="A17" t="s">
        <v>0</v>
      </c>
      <c r="B17" t="s">
        <v>16</v>
      </c>
      <c r="C17">
        <v>1</v>
      </c>
      <c r="D17" t="s">
        <v>17</v>
      </c>
    </row>
    <row r="18" spans="1:4" x14ac:dyDescent="0.25">
      <c r="A18" t="s">
        <v>0</v>
      </c>
      <c r="B18" t="s">
        <v>17</v>
      </c>
      <c r="C18">
        <v>2</v>
      </c>
      <c r="D18" t="s">
        <v>18</v>
      </c>
    </row>
    <row r="19" spans="1:4" x14ac:dyDescent="0.25">
      <c r="A19" t="s">
        <v>0</v>
      </c>
      <c r="B19" t="s">
        <v>18</v>
      </c>
      <c r="C19">
        <v>2</v>
      </c>
      <c r="D19" t="s">
        <v>19</v>
      </c>
    </row>
    <row r="20" spans="1:4" x14ac:dyDescent="0.25">
      <c r="A20" t="s">
        <v>0</v>
      </c>
      <c r="B20" t="s">
        <v>19</v>
      </c>
      <c r="C20">
        <v>2</v>
      </c>
      <c r="D20" t="s">
        <v>20</v>
      </c>
    </row>
    <row r="21" spans="1:4" x14ac:dyDescent="0.25">
      <c r="A21" t="s">
        <v>0</v>
      </c>
      <c r="B21" t="s">
        <v>20</v>
      </c>
      <c r="C21">
        <v>3</v>
      </c>
      <c r="D21" t="s">
        <v>21</v>
      </c>
    </row>
    <row r="22" spans="1:4" x14ac:dyDescent="0.25">
      <c r="A22" t="s">
        <v>0</v>
      </c>
      <c r="B22" t="s">
        <v>21</v>
      </c>
      <c r="C22">
        <v>2</v>
      </c>
      <c r="D22" t="s">
        <v>22</v>
      </c>
    </row>
    <row r="23" spans="1:4" x14ac:dyDescent="0.25">
      <c r="A23" t="s">
        <v>0</v>
      </c>
      <c r="B23" t="s">
        <v>22</v>
      </c>
      <c r="C23">
        <v>3</v>
      </c>
      <c r="D23" t="s">
        <v>23</v>
      </c>
    </row>
    <row r="24" spans="1:4" x14ac:dyDescent="0.25">
      <c r="A24" t="s">
        <v>24</v>
      </c>
      <c r="B24" t="s">
        <v>25</v>
      </c>
      <c r="C24">
        <v>2</v>
      </c>
      <c r="D24" t="s">
        <v>26</v>
      </c>
    </row>
    <row r="25" spans="1:4" x14ac:dyDescent="0.25">
      <c r="A25" t="s">
        <v>24</v>
      </c>
      <c r="B25" t="s">
        <v>26</v>
      </c>
      <c r="C25">
        <v>2</v>
      </c>
      <c r="D25" t="s">
        <v>27</v>
      </c>
    </row>
    <row r="26" spans="1:4" x14ac:dyDescent="0.25">
      <c r="A26" t="s">
        <v>24</v>
      </c>
      <c r="B26" t="s">
        <v>27</v>
      </c>
      <c r="C26">
        <v>2</v>
      </c>
      <c r="D26" t="s">
        <v>28</v>
      </c>
    </row>
    <row r="27" spans="1:4" x14ac:dyDescent="0.25">
      <c r="A27" t="s">
        <v>24</v>
      </c>
      <c r="B27" t="s">
        <v>28</v>
      </c>
      <c r="C27">
        <v>2</v>
      </c>
      <c r="D27" t="s">
        <v>29</v>
      </c>
    </row>
    <row r="28" spans="1:4" x14ac:dyDescent="0.25">
      <c r="A28" t="s">
        <v>24</v>
      </c>
      <c r="B28" t="s">
        <v>29</v>
      </c>
      <c r="C28">
        <v>3</v>
      </c>
      <c r="D28" t="s">
        <v>15</v>
      </c>
    </row>
    <row r="29" spans="1:4" x14ac:dyDescent="0.25">
      <c r="A29" t="s">
        <v>24</v>
      </c>
      <c r="B29" t="s">
        <v>15</v>
      </c>
      <c r="C29">
        <v>2</v>
      </c>
      <c r="D29" t="s">
        <v>30</v>
      </c>
    </row>
    <row r="30" spans="1:4" x14ac:dyDescent="0.25">
      <c r="A30" t="s">
        <v>24</v>
      </c>
      <c r="B30" t="s">
        <v>30</v>
      </c>
      <c r="C30">
        <v>2</v>
      </c>
      <c r="D30" t="s">
        <v>12</v>
      </c>
    </row>
    <row r="31" spans="1:4" x14ac:dyDescent="0.25">
      <c r="A31" t="s">
        <v>24</v>
      </c>
      <c r="B31" t="s">
        <v>12</v>
      </c>
      <c r="C31">
        <v>2</v>
      </c>
      <c r="D31" t="s">
        <v>31</v>
      </c>
    </row>
    <row r="32" spans="1:4" x14ac:dyDescent="0.25">
      <c r="A32" t="s">
        <v>24</v>
      </c>
      <c r="B32" t="s">
        <v>31</v>
      </c>
      <c r="C32">
        <v>1</v>
      </c>
      <c r="D32" t="s">
        <v>32</v>
      </c>
    </row>
    <row r="33" spans="1:4" x14ac:dyDescent="0.25">
      <c r="A33" t="s">
        <v>24</v>
      </c>
      <c r="B33" t="s">
        <v>32</v>
      </c>
      <c r="C33">
        <v>2</v>
      </c>
      <c r="D33" t="s">
        <v>33</v>
      </c>
    </row>
    <row r="34" spans="1:4" x14ac:dyDescent="0.25">
      <c r="A34" t="s">
        <v>24</v>
      </c>
      <c r="B34" t="s">
        <v>33</v>
      </c>
      <c r="C34">
        <v>2</v>
      </c>
      <c r="D34" t="s">
        <v>34</v>
      </c>
    </row>
    <row r="35" spans="1:4" x14ac:dyDescent="0.25">
      <c r="A35" t="s">
        <v>24</v>
      </c>
      <c r="B35" t="s">
        <v>34</v>
      </c>
      <c r="C35">
        <v>2</v>
      </c>
      <c r="D35" t="s">
        <v>35</v>
      </c>
    </row>
    <row r="36" spans="1:4" x14ac:dyDescent="0.25">
      <c r="A36" t="s">
        <v>24</v>
      </c>
      <c r="B36" t="s">
        <v>35</v>
      </c>
      <c r="C36">
        <v>3</v>
      </c>
      <c r="D36" t="s">
        <v>36</v>
      </c>
    </row>
    <row r="37" spans="1:4" x14ac:dyDescent="0.25">
      <c r="A37" t="s">
        <v>24</v>
      </c>
      <c r="B37" t="s">
        <v>36</v>
      </c>
      <c r="C37">
        <v>2</v>
      </c>
      <c r="D37" t="s">
        <v>37</v>
      </c>
    </row>
    <row r="38" spans="1:4" x14ac:dyDescent="0.25">
      <c r="A38" t="s">
        <v>24</v>
      </c>
      <c r="B38" t="s">
        <v>37</v>
      </c>
      <c r="C38">
        <v>3</v>
      </c>
      <c r="D38" t="s">
        <v>38</v>
      </c>
    </row>
    <row r="39" spans="1:4" x14ac:dyDescent="0.25">
      <c r="A39" t="s">
        <v>39</v>
      </c>
      <c r="B39" t="s">
        <v>40</v>
      </c>
      <c r="C39">
        <v>4</v>
      </c>
      <c r="D39" t="s">
        <v>41</v>
      </c>
    </row>
    <row r="40" spans="1:4" x14ac:dyDescent="0.25">
      <c r="A40" t="s">
        <v>39</v>
      </c>
      <c r="B40" t="s">
        <v>41</v>
      </c>
      <c r="C40">
        <v>2</v>
      </c>
      <c r="D40" t="s">
        <v>29</v>
      </c>
    </row>
    <row r="41" spans="1:4" x14ac:dyDescent="0.25">
      <c r="A41" t="s">
        <v>39</v>
      </c>
      <c r="B41" t="s">
        <v>29</v>
      </c>
      <c r="C41">
        <v>3</v>
      </c>
      <c r="D41" t="s">
        <v>15</v>
      </c>
    </row>
    <row r="42" spans="1:4" x14ac:dyDescent="0.25">
      <c r="A42" t="s">
        <v>39</v>
      </c>
      <c r="B42" t="s">
        <v>15</v>
      </c>
      <c r="C42">
        <v>2</v>
      </c>
      <c r="D42" t="s">
        <v>30</v>
      </c>
    </row>
    <row r="43" spans="1:4" x14ac:dyDescent="0.25">
      <c r="A43" t="s">
        <v>39</v>
      </c>
      <c r="B43" t="s">
        <v>30</v>
      </c>
      <c r="C43">
        <v>2</v>
      </c>
      <c r="D43" t="s">
        <v>12</v>
      </c>
    </row>
    <row r="44" spans="1:4" x14ac:dyDescent="0.25">
      <c r="A44" t="s">
        <v>39</v>
      </c>
      <c r="B44" t="s">
        <v>12</v>
      </c>
      <c r="C44">
        <v>2</v>
      </c>
      <c r="D44" t="s">
        <v>31</v>
      </c>
    </row>
    <row r="45" spans="1:4" x14ac:dyDescent="0.25">
      <c r="A45" t="s">
        <v>39</v>
      </c>
      <c r="B45" t="s">
        <v>31</v>
      </c>
      <c r="C45">
        <v>1</v>
      </c>
      <c r="D45" t="s">
        <v>32</v>
      </c>
    </row>
    <row r="46" spans="1:4" x14ac:dyDescent="0.25">
      <c r="A46" t="s">
        <v>39</v>
      </c>
      <c r="B46" t="s">
        <v>32</v>
      </c>
      <c r="C46">
        <v>2</v>
      </c>
      <c r="D46" t="s">
        <v>42</v>
      </c>
    </row>
    <row r="47" spans="1:4" x14ac:dyDescent="0.25">
      <c r="A47" t="s">
        <v>39</v>
      </c>
      <c r="B47" t="s">
        <v>42</v>
      </c>
      <c r="C47">
        <v>3</v>
      </c>
      <c r="D47" t="s">
        <v>43</v>
      </c>
    </row>
    <row r="48" spans="1:4" x14ac:dyDescent="0.25">
      <c r="A48" t="s">
        <v>39</v>
      </c>
      <c r="B48" t="s">
        <v>43</v>
      </c>
      <c r="C48">
        <v>2</v>
      </c>
      <c r="D48" t="s">
        <v>44</v>
      </c>
    </row>
  </sheetData>
  <sheetProtection algorithmName="SHA-512" hashValue="U+tmYvw1uV1UpSuLAGFqUw87B86KRts7q7T7jzNnu/XzeIqAbYBn5KVAMZSVlhLzfxy23NIJXnh+6vjM6FZuZA==" saltValue="AYheftG0A18bQYHYgMgcFQ==" spinCount="100000" sheet="1" objects="1" scenarios="1"/>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96835-C411-4FBB-B180-C88F482FBF7A}">
  <dimension ref="B1:M31"/>
  <sheetViews>
    <sheetView workbookViewId="0">
      <selection activeCell="G1" sqref="G1:G1048576"/>
    </sheetView>
  </sheetViews>
  <sheetFormatPr baseColWidth="10" defaultRowHeight="15" x14ac:dyDescent="0.25"/>
  <cols>
    <col min="2" max="2" width="18.7109375" bestFit="1" customWidth="1"/>
    <col min="3" max="4" width="8.5703125" bestFit="1" customWidth="1"/>
    <col min="5" max="5" width="12.28515625" customWidth="1"/>
    <col min="7" max="8" width="12.28515625" customWidth="1"/>
    <col min="12" max="12" width="12.7109375" customWidth="1"/>
  </cols>
  <sheetData>
    <row r="1" spans="2:13" x14ac:dyDescent="0.25">
      <c r="B1" s="5" t="s">
        <v>46</v>
      </c>
      <c r="C1" s="5" t="s">
        <v>47</v>
      </c>
      <c r="D1" s="5" t="s">
        <v>60</v>
      </c>
      <c r="E1" s="7" t="s">
        <v>64</v>
      </c>
      <c r="F1" s="6" t="s">
        <v>63</v>
      </c>
      <c r="G1" s="7" t="s">
        <v>65</v>
      </c>
      <c r="H1" s="6" t="s">
        <v>62</v>
      </c>
    </row>
    <row r="2" spans="2:13" x14ac:dyDescent="0.25">
      <c r="B2" s="5" t="s">
        <v>1</v>
      </c>
      <c r="C2" s="8">
        <v>3</v>
      </c>
      <c r="D2" s="8">
        <v>60</v>
      </c>
      <c r="E2" s="9"/>
      <c r="F2" s="4">
        <v>0.20833333333333334</v>
      </c>
      <c r="G2" s="9">
        <f>H3+(C2/1440)</f>
        <v>0.29166666666666641</v>
      </c>
      <c r="H2" s="4"/>
    </row>
    <row r="3" spans="2:13" x14ac:dyDescent="0.25">
      <c r="B3" s="5" t="s">
        <v>2</v>
      </c>
      <c r="C3" s="8">
        <v>2</v>
      </c>
      <c r="D3" s="8">
        <v>30</v>
      </c>
      <c r="E3" s="9">
        <f>F2+(C2/1440)</f>
        <v>0.21041666666666667</v>
      </c>
      <c r="F3" s="4">
        <f>F2+(C2/1440)+(D3/86400)</f>
        <v>0.21076388888888889</v>
      </c>
      <c r="G3" s="9">
        <f>H4+(C3/1440)</f>
        <v>0.28923611111111086</v>
      </c>
      <c r="H3" s="4">
        <f t="shared" ref="H3:H21" si="0">H4+(C3/1440)+(D3/86400)</f>
        <v>0.28958333333333308</v>
      </c>
    </row>
    <row r="4" spans="2:13" x14ac:dyDescent="0.25">
      <c r="B4" s="5" t="s">
        <v>3</v>
      </c>
      <c r="C4" s="8">
        <v>2</v>
      </c>
      <c r="D4" s="8">
        <v>30</v>
      </c>
      <c r="E4" s="9">
        <f>F3+(C3/1440)</f>
        <v>0.21215277777777777</v>
      </c>
      <c r="F4" s="4">
        <f t="shared" ref="F4:F24" si="1">F3+(C3/1440)+(D4/86400)</f>
        <v>0.21249999999999999</v>
      </c>
      <c r="G4" s="9">
        <f>H5+(C4/1440)</f>
        <v>0.28749999999999976</v>
      </c>
      <c r="H4" s="4">
        <f t="shared" si="0"/>
        <v>0.28784722222222198</v>
      </c>
      <c r="K4" t="s">
        <v>49</v>
      </c>
    </row>
    <row r="5" spans="2:13" x14ac:dyDescent="0.25">
      <c r="B5" s="5" t="s">
        <v>4</v>
      </c>
      <c r="C5" s="8">
        <v>3</v>
      </c>
      <c r="D5" s="8">
        <v>30</v>
      </c>
      <c r="E5" s="9">
        <f>F4+(C4/1440)</f>
        <v>0.21388888888888888</v>
      </c>
      <c r="F5" s="4">
        <f t="shared" si="1"/>
        <v>0.2142361111111111</v>
      </c>
      <c r="G5" s="9">
        <f>H6+(C5/1440)</f>
        <v>0.28576388888888865</v>
      </c>
      <c r="H5" s="4">
        <f t="shared" si="0"/>
        <v>0.28611111111111087</v>
      </c>
      <c r="J5">
        <v>2</v>
      </c>
      <c r="K5" t="s">
        <v>52</v>
      </c>
      <c r="L5">
        <v>60</v>
      </c>
      <c r="M5" t="s">
        <v>50</v>
      </c>
    </row>
    <row r="6" spans="2:13" x14ac:dyDescent="0.25">
      <c r="B6" s="5" t="s">
        <v>5</v>
      </c>
      <c r="C6" s="8">
        <v>2</v>
      </c>
      <c r="D6" s="8">
        <v>30</v>
      </c>
      <c r="E6" s="9">
        <f>F5+(C5/1440)</f>
        <v>0.21631944444444443</v>
      </c>
      <c r="F6" s="4">
        <f t="shared" si="1"/>
        <v>0.21666666666666665</v>
      </c>
      <c r="G6" s="9">
        <f>H7+(C6/1440)</f>
        <v>0.2833333333333331</v>
      </c>
      <c r="H6" s="4">
        <f t="shared" si="0"/>
        <v>0.28368055555555532</v>
      </c>
      <c r="J6">
        <v>22</v>
      </c>
      <c r="K6" t="s">
        <v>52</v>
      </c>
      <c r="L6">
        <v>30</v>
      </c>
      <c r="M6" t="s">
        <v>50</v>
      </c>
    </row>
    <row r="7" spans="2:13" x14ac:dyDescent="0.25">
      <c r="B7" s="5" t="s">
        <v>6</v>
      </c>
      <c r="C7" s="8">
        <v>3</v>
      </c>
      <c r="D7" s="8">
        <v>30</v>
      </c>
      <c r="E7" s="9">
        <f>F6+(C6/1440)</f>
        <v>0.21805555555555553</v>
      </c>
      <c r="F7" s="4">
        <f t="shared" si="1"/>
        <v>0.21840277777777775</v>
      </c>
      <c r="G7" s="9">
        <f>H8+(C7/1440)</f>
        <v>0.281597222222222</v>
      </c>
      <c r="H7" s="4">
        <f t="shared" si="0"/>
        <v>0.28194444444444422</v>
      </c>
      <c r="J7">
        <v>3</v>
      </c>
      <c r="K7" t="s">
        <v>52</v>
      </c>
      <c r="L7">
        <v>60</v>
      </c>
      <c r="M7" t="s">
        <v>51</v>
      </c>
    </row>
    <row r="8" spans="2:13" x14ac:dyDescent="0.25">
      <c r="B8" s="5" t="s">
        <v>7</v>
      </c>
      <c r="C8" s="8">
        <v>2</v>
      </c>
      <c r="D8" s="8">
        <v>30</v>
      </c>
      <c r="E8" s="9">
        <f>F7+(C7/1440)</f>
        <v>0.22048611111111108</v>
      </c>
      <c r="F8" s="4">
        <f t="shared" si="1"/>
        <v>0.2208333333333333</v>
      </c>
      <c r="G8" s="9">
        <f>H9+(C8/1440)</f>
        <v>0.27916666666666645</v>
      </c>
      <c r="H8" s="4">
        <f t="shared" si="0"/>
        <v>0.27951388888888867</v>
      </c>
      <c r="J8">
        <v>22</v>
      </c>
      <c r="K8" t="s">
        <v>52</v>
      </c>
      <c r="L8">
        <v>30</v>
      </c>
      <c r="M8" t="s">
        <v>51</v>
      </c>
    </row>
    <row r="9" spans="2:13" x14ac:dyDescent="0.25">
      <c r="B9" s="5" t="s">
        <v>8</v>
      </c>
      <c r="C9" s="8">
        <v>2</v>
      </c>
      <c r="D9" s="8">
        <v>30</v>
      </c>
      <c r="E9" s="9">
        <f>F8+(C8/1440)</f>
        <v>0.22222222222222218</v>
      </c>
      <c r="F9" s="4">
        <f t="shared" si="1"/>
        <v>0.2225694444444444</v>
      </c>
      <c r="G9" s="9">
        <f>H10+(C9/1440)</f>
        <v>0.27743055555555535</v>
      </c>
      <c r="H9" s="4">
        <f t="shared" si="0"/>
        <v>0.27777777777777757</v>
      </c>
    </row>
    <row r="10" spans="2:13" x14ac:dyDescent="0.25">
      <c r="B10" s="5" t="s">
        <v>9</v>
      </c>
      <c r="C10" s="8">
        <v>2</v>
      </c>
      <c r="D10" s="8">
        <v>30</v>
      </c>
      <c r="E10" s="9">
        <f>F9+(C9/1440)</f>
        <v>0.22395833333333329</v>
      </c>
      <c r="F10" s="4">
        <f t="shared" si="1"/>
        <v>0.22430555555555551</v>
      </c>
      <c r="G10" s="9">
        <f>H11+(C10/1440)</f>
        <v>0.27569444444444424</v>
      </c>
      <c r="H10" s="4">
        <f t="shared" si="0"/>
        <v>0.27604166666666646</v>
      </c>
    </row>
    <row r="11" spans="2:13" x14ac:dyDescent="0.25">
      <c r="B11" s="5" t="s">
        <v>10</v>
      </c>
      <c r="C11" s="8">
        <v>1</v>
      </c>
      <c r="D11" s="8">
        <v>30</v>
      </c>
      <c r="E11" s="9">
        <f>F10+(C10/1440)</f>
        <v>0.22569444444444439</v>
      </c>
      <c r="F11" s="4">
        <f t="shared" si="1"/>
        <v>0.22604166666666661</v>
      </c>
      <c r="G11" s="9">
        <f>H12+(C11/1440)</f>
        <v>0.27395833333333314</v>
      </c>
      <c r="H11" s="4">
        <f t="shared" si="0"/>
        <v>0.27430555555555536</v>
      </c>
    </row>
    <row r="12" spans="2:13" x14ac:dyDescent="0.25">
      <c r="B12" s="5" t="s">
        <v>11</v>
      </c>
      <c r="C12" s="8">
        <v>2</v>
      </c>
      <c r="D12" s="8">
        <v>30</v>
      </c>
      <c r="E12" s="9">
        <f>F11+(C11/1440)</f>
        <v>0.22673611111111105</v>
      </c>
      <c r="F12" s="4">
        <f t="shared" si="1"/>
        <v>0.22708333333333328</v>
      </c>
      <c r="G12" s="9">
        <f>H13+(C12/1440)</f>
        <v>0.27291666666666647</v>
      </c>
      <c r="H12" s="4">
        <f t="shared" si="0"/>
        <v>0.2732638888888887</v>
      </c>
    </row>
    <row r="13" spans="2:13" x14ac:dyDescent="0.25">
      <c r="B13" s="5" t="s">
        <v>12</v>
      </c>
      <c r="C13" s="8">
        <v>2</v>
      </c>
      <c r="D13" s="8">
        <v>60</v>
      </c>
      <c r="E13" s="9">
        <f>F12+(C12/1440)</f>
        <v>0.22847222222222216</v>
      </c>
      <c r="F13" s="4">
        <f t="shared" si="1"/>
        <v>0.2291666666666666</v>
      </c>
      <c r="G13" s="9">
        <f>H14+(C13/1440)</f>
        <v>0.27083333333333315</v>
      </c>
      <c r="H13" s="4">
        <f t="shared" si="0"/>
        <v>0.27152777777777759</v>
      </c>
      <c r="K13" t="s">
        <v>53</v>
      </c>
    </row>
    <row r="14" spans="2:13" x14ac:dyDescent="0.25">
      <c r="B14" s="5" t="s">
        <v>13</v>
      </c>
      <c r="C14" s="8">
        <v>3</v>
      </c>
      <c r="D14" s="8">
        <v>30</v>
      </c>
      <c r="E14" s="9">
        <f>F13+(C13/1440)</f>
        <v>0.23055555555555549</v>
      </c>
      <c r="F14" s="4">
        <f t="shared" si="1"/>
        <v>0.23090277777777771</v>
      </c>
      <c r="G14" s="9">
        <f>H15+(C14/1440)</f>
        <v>0.26909722222222204</v>
      </c>
      <c r="H14" s="4">
        <f t="shared" si="0"/>
        <v>0.26944444444444426</v>
      </c>
      <c r="K14">
        <f>SUM(C2:C23)</f>
        <v>48</v>
      </c>
    </row>
    <row r="15" spans="2:13" x14ac:dyDescent="0.25">
      <c r="B15" s="5" t="s">
        <v>14</v>
      </c>
      <c r="C15" s="8">
        <v>2</v>
      </c>
      <c r="D15" s="8">
        <v>30</v>
      </c>
      <c r="E15" s="9">
        <f>F14+(C14/1440)</f>
        <v>0.23298611111111103</v>
      </c>
      <c r="F15" s="4">
        <f t="shared" si="1"/>
        <v>0.23333333333333325</v>
      </c>
      <c r="G15" s="9">
        <f>H16+(C15/1440)</f>
        <v>0.2666666666666665</v>
      </c>
      <c r="H15" s="4">
        <f t="shared" si="0"/>
        <v>0.26701388888888872</v>
      </c>
      <c r="K15" t="s">
        <v>54</v>
      </c>
    </row>
    <row r="16" spans="2:13" x14ac:dyDescent="0.25">
      <c r="B16" s="5" t="s">
        <v>15</v>
      </c>
      <c r="C16" s="8">
        <v>2</v>
      </c>
      <c r="D16" s="8">
        <v>60</v>
      </c>
      <c r="E16" s="9">
        <f>F15+(C15/1440)</f>
        <v>0.23472222222222214</v>
      </c>
      <c r="F16" s="4">
        <f t="shared" si="1"/>
        <v>0.23541666666666658</v>
      </c>
      <c r="G16" s="9">
        <f>H17+(C16/1440)</f>
        <v>0.26458333333333317</v>
      </c>
      <c r="H16" s="4">
        <f t="shared" si="0"/>
        <v>0.26527777777777761</v>
      </c>
      <c r="K16">
        <f>J5*L5+J6*L6</f>
        <v>780</v>
      </c>
    </row>
    <row r="17" spans="2:13" x14ac:dyDescent="0.25">
      <c r="B17" s="5" t="s">
        <v>16</v>
      </c>
      <c r="C17" s="8">
        <v>1</v>
      </c>
      <c r="D17" s="8">
        <v>30</v>
      </c>
      <c r="E17" s="9">
        <f>F16+(C16/1440)</f>
        <v>0.23680555555555546</v>
      </c>
      <c r="F17" s="4">
        <f t="shared" si="1"/>
        <v>0.23715277777777768</v>
      </c>
      <c r="G17" s="9">
        <f>H18+(C17/1440)</f>
        <v>0.26284722222222207</v>
      </c>
      <c r="H17" s="4">
        <f t="shared" si="0"/>
        <v>0.26319444444444429</v>
      </c>
      <c r="K17" t="s">
        <v>55</v>
      </c>
    </row>
    <row r="18" spans="2:13" x14ac:dyDescent="0.25">
      <c r="B18" s="5" t="s">
        <v>17</v>
      </c>
      <c r="C18" s="8">
        <v>2</v>
      </c>
      <c r="D18" s="8">
        <v>30</v>
      </c>
      <c r="E18" s="9">
        <f>F17+(C17/1440)</f>
        <v>0.23784722222222213</v>
      </c>
      <c r="F18" s="4">
        <f t="shared" si="1"/>
        <v>0.23819444444444435</v>
      </c>
      <c r="G18" s="9">
        <f>H19+(C18/1440)</f>
        <v>0.2618055555555554</v>
      </c>
      <c r="H18" s="4">
        <f t="shared" si="0"/>
        <v>0.26215277777777762</v>
      </c>
      <c r="K18">
        <f>K14*60+K16</f>
        <v>3660</v>
      </c>
    </row>
    <row r="19" spans="2:13" x14ac:dyDescent="0.25">
      <c r="B19" s="5" t="s">
        <v>18</v>
      </c>
      <c r="C19" s="8">
        <v>2</v>
      </c>
      <c r="D19" s="8">
        <v>30</v>
      </c>
      <c r="E19" s="9">
        <f>F18+(C18/1440)</f>
        <v>0.23958333333333323</v>
      </c>
      <c r="F19" s="4">
        <f t="shared" si="1"/>
        <v>0.23993055555555545</v>
      </c>
      <c r="G19" s="9">
        <f>H20+(C19/1440)</f>
        <v>0.2600694444444443</v>
      </c>
      <c r="H19" s="4">
        <f t="shared" si="0"/>
        <v>0.26041666666666652</v>
      </c>
      <c r="K19" t="s">
        <v>56</v>
      </c>
    </row>
    <row r="20" spans="2:13" x14ac:dyDescent="0.25">
      <c r="B20" s="5" t="s">
        <v>19</v>
      </c>
      <c r="C20" s="8">
        <v>2</v>
      </c>
      <c r="D20" s="8">
        <v>30</v>
      </c>
      <c r="E20" s="9">
        <f>F19+(C19/1440)</f>
        <v>0.24131944444444434</v>
      </c>
      <c r="F20" s="4">
        <f t="shared" si="1"/>
        <v>0.24166666666666656</v>
      </c>
      <c r="G20" s="9">
        <f>H21+(C20/1440)</f>
        <v>0.25833333333333319</v>
      </c>
      <c r="H20" s="4">
        <f t="shared" si="0"/>
        <v>0.25868055555555541</v>
      </c>
      <c r="K20">
        <f>K18/60</f>
        <v>61</v>
      </c>
    </row>
    <row r="21" spans="2:13" x14ac:dyDescent="0.25">
      <c r="B21" s="5" t="s">
        <v>20</v>
      </c>
      <c r="C21" s="8">
        <v>3</v>
      </c>
      <c r="D21" s="8">
        <v>30</v>
      </c>
      <c r="E21" s="9">
        <f>F20+(C20/1440)</f>
        <v>0.24305555555555544</v>
      </c>
      <c r="F21" s="4">
        <f t="shared" si="1"/>
        <v>0.24340277777777766</v>
      </c>
      <c r="G21" s="9">
        <f>H22+(C21/1440)</f>
        <v>0.25659722222222209</v>
      </c>
      <c r="H21" s="4">
        <f t="shared" si="0"/>
        <v>0.25694444444444431</v>
      </c>
      <c r="K21" t="s">
        <v>58</v>
      </c>
    </row>
    <row r="22" spans="2:13" x14ac:dyDescent="0.25">
      <c r="B22" s="5" t="s">
        <v>21</v>
      </c>
      <c r="C22" s="8">
        <v>2</v>
      </c>
      <c r="D22" s="8">
        <v>30</v>
      </c>
      <c r="E22" s="9">
        <f>F21+(C21/1440)</f>
        <v>0.24548611111111099</v>
      </c>
      <c r="F22" s="4">
        <f t="shared" si="1"/>
        <v>0.24583333333333321</v>
      </c>
      <c r="G22" s="9">
        <f>H23+(C22/1440)</f>
        <v>0.25416666666666654</v>
      </c>
      <c r="H22" s="4">
        <f>H23+(C22/1440)+(D22/86400)</f>
        <v>0.25451388888888876</v>
      </c>
      <c r="K22">
        <f>J7*L7+J8*L8</f>
        <v>840</v>
      </c>
    </row>
    <row r="23" spans="2:13" x14ac:dyDescent="0.25">
      <c r="B23" s="5" t="s">
        <v>22</v>
      </c>
      <c r="C23" s="8">
        <v>3</v>
      </c>
      <c r="D23" s="8">
        <v>30</v>
      </c>
      <c r="E23" s="9">
        <f>F22+(C22/1440)</f>
        <v>0.24722222222222209</v>
      </c>
      <c r="F23" s="4">
        <f t="shared" si="1"/>
        <v>0.24756944444444431</v>
      </c>
      <c r="G23" s="9">
        <f>F24+(C23/1440)</f>
        <v>0.25243055555555544</v>
      </c>
      <c r="H23" s="4">
        <f>F24+(C23/1440)+(D23/86400)</f>
        <v>0.25277777777777766</v>
      </c>
      <c r="K23" t="s">
        <v>59</v>
      </c>
    </row>
    <row r="24" spans="2:13" x14ac:dyDescent="0.25">
      <c r="B24" s="5" t="s">
        <v>23</v>
      </c>
      <c r="C24" s="8"/>
      <c r="D24" s="8">
        <v>60</v>
      </c>
      <c r="E24" s="9">
        <f>F23+(C23/1440)</f>
        <v>0.24965277777777764</v>
      </c>
      <c r="F24" s="4">
        <f t="shared" si="1"/>
        <v>0.25034722222222211</v>
      </c>
      <c r="G24" s="10"/>
      <c r="H24" s="10"/>
      <c r="K24">
        <f>K18+K14*60+K22</f>
        <v>7380</v>
      </c>
    </row>
    <row r="25" spans="2:13" x14ac:dyDescent="0.25">
      <c r="C25" s="2"/>
      <c r="D25" s="2"/>
      <c r="E25" s="3"/>
      <c r="F25" s="2"/>
      <c r="G25" s="2"/>
      <c r="H25" s="2"/>
      <c r="K25" t="s">
        <v>57</v>
      </c>
    </row>
    <row r="26" spans="2:13" x14ac:dyDescent="0.25">
      <c r="C26" s="2"/>
      <c r="D26" s="2"/>
      <c r="E26" s="3"/>
      <c r="F26" s="2"/>
      <c r="G26" s="2"/>
      <c r="H26" s="2"/>
      <c r="K26">
        <f>K24/60</f>
        <v>123</v>
      </c>
    </row>
    <row r="27" spans="2:13" x14ac:dyDescent="0.25">
      <c r="C27" s="2"/>
      <c r="D27" s="2"/>
      <c r="E27" s="2"/>
      <c r="F27" s="2"/>
      <c r="G27" s="2"/>
      <c r="H27" s="2"/>
    </row>
    <row r="29" spans="2:13" x14ac:dyDescent="0.25">
      <c r="K29" t="s">
        <v>66</v>
      </c>
      <c r="M29" s="1" t="s">
        <v>61</v>
      </c>
    </row>
    <row r="30" spans="2:13" x14ac:dyDescent="0.25">
      <c r="K30" t="s">
        <v>67</v>
      </c>
      <c r="M30" s="1" t="s">
        <v>68</v>
      </c>
    </row>
    <row r="31" spans="2:13" x14ac:dyDescent="0.25">
      <c r="K31" t="s">
        <v>69</v>
      </c>
      <c r="M31" s="1" t="s">
        <v>73</v>
      </c>
    </row>
  </sheetData>
  <sheetProtection algorithmName="SHA-512" hashValue="CphQrFUAjbnP0ihuriB8r7pPBed4SQvm/KXQp2zfAdwQD6+ajzecjtYxfBvoP/kBkcL7kzqW9CNwxjjPaL4tFw==" saltValue="mee/73Lua3ICqpHvqOXdUQ==" spinCount="100000" sheet="1" objects="1" scenarios="1"/>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CC6A8-2330-455B-9450-24555657E9BA}">
  <dimension ref="B1:M31"/>
  <sheetViews>
    <sheetView workbookViewId="0">
      <selection activeCell="G1" sqref="G1:G1048576"/>
    </sheetView>
  </sheetViews>
  <sheetFormatPr baseColWidth="10" defaultRowHeight="15" x14ac:dyDescent="0.25"/>
  <cols>
    <col min="2" max="2" width="18.7109375" bestFit="1" customWidth="1"/>
    <col min="3" max="4" width="8.5703125" bestFit="1" customWidth="1"/>
    <col min="5" max="5" width="12.28515625" customWidth="1"/>
    <col min="7" max="8" width="12.28515625" customWidth="1"/>
    <col min="12" max="12" width="12.7109375" customWidth="1"/>
  </cols>
  <sheetData>
    <row r="1" spans="2:13" x14ac:dyDescent="0.25">
      <c r="B1" s="5" t="s">
        <v>46</v>
      </c>
      <c r="C1" s="5" t="s">
        <v>47</v>
      </c>
      <c r="D1" s="5" t="s">
        <v>60</v>
      </c>
      <c r="E1" s="7" t="s">
        <v>64</v>
      </c>
      <c r="F1" s="6" t="s">
        <v>63</v>
      </c>
      <c r="G1" s="7" t="s">
        <v>65</v>
      </c>
      <c r="H1" s="6" t="s">
        <v>62</v>
      </c>
    </row>
    <row r="2" spans="2:13" x14ac:dyDescent="0.25">
      <c r="B2" s="5" t="s">
        <v>25</v>
      </c>
      <c r="C2" s="8">
        <v>2</v>
      </c>
      <c r="D2" s="8">
        <v>60</v>
      </c>
      <c r="E2" s="9"/>
      <c r="F2" s="4">
        <v>0.20833333333333334</v>
      </c>
      <c r="G2" s="9">
        <f>H3+(C2/1440)</f>
        <v>0.26458333333333317</v>
      </c>
      <c r="H2" s="4"/>
    </row>
    <row r="3" spans="2:13" x14ac:dyDescent="0.25">
      <c r="B3" s="5" t="s">
        <v>26</v>
      </c>
      <c r="C3" s="8">
        <v>2</v>
      </c>
      <c r="D3" s="8">
        <v>30</v>
      </c>
      <c r="E3" s="9">
        <f>F2+(C2/1440)</f>
        <v>0.20972222222222223</v>
      </c>
      <c r="F3" s="4">
        <f>F2+(C2/1440)+(D3/86400)</f>
        <v>0.21006944444444445</v>
      </c>
      <c r="G3" s="9">
        <f>H4+(C3/1440)</f>
        <v>0.26284722222222207</v>
      </c>
      <c r="H3" s="4">
        <f t="shared" ref="H3:H14" si="0">H4+(C3/1440)+(D3/86400)</f>
        <v>0.26319444444444429</v>
      </c>
    </row>
    <row r="4" spans="2:13" x14ac:dyDescent="0.25">
      <c r="B4" s="5" t="s">
        <v>27</v>
      </c>
      <c r="C4" s="8">
        <v>2</v>
      </c>
      <c r="D4" s="8">
        <v>30</v>
      </c>
      <c r="E4" s="9">
        <f>F3+(C3/1440)</f>
        <v>0.21145833333333333</v>
      </c>
      <c r="F4" s="4">
        <f t="shared" ref="F4:F17" si="1">F3+(C3/1440)+(D4/86400)</f>
        <v>0.21180555555555555</v>
      </c>
      <c r="G4" s="9">
        <f>H5+(C4/1440)</f>
        <v>0.26111111111111096</v>
      </c>
      <c r="H4" s="4">
        <f t="shared" si="0"/>
        <v>0.26145833333333318</v>
      </c>
      <c r="K4" t="s">
        <v>49</v>
      </c>
    </row>
    <row r="5" spans="2:13" x14ac:dyDescent="0.25">
      <c r="B5" s="5" t="s">
        <v>28</v>
      </c>
      <c r="C5" s="8">
        <v>2</v>
      </c>
      <c r="D5" s="8">
        <v>30</v>
      </c>
      <c r="E5" s="9">
        <f>F4+(C4/1440)</f>
        <v>0.21319444444444444</v>
      </c>
      <c r="F5" s="4">
        <f t="shared" si="1"/>
        <v>0.21354166666666666</v>
      </c>
      <c r="G5" s="9">
        <f>H6+(C5/1440)</f>
        <v>0.25937499999999986</v>
      </c>
      <c r="H5" s="4">
        <f t="shared" si="0"/>
        <v>0.25972222222222208</v>
      </c>
      <c r="J5">
        <v>2</v>
      </c>
      <c r="K5" t="s">
        <v>52</v>
      </c>
      <c r="L5">
        <v>60</v>
      </c>
      <c r="M5" t="s">
        <v>50</v>
      </c>
    </row>
    <row r="6" spans="2:13" x14ac:dyDescent="0.25">
      <c r="B6" s="5" t="s">
        <v>29</v>
      </c>
      <c r="C6" s="8">
        <v>3</v>
      </c>
      <c r="D6" s="8">
        <v>30</v>
      </c>
      <c r="E6" s="9">
        <f>F5+(C5/1440)</f>
        <v>0.21493055555555554</v>
      </c>
      <c r="F6" s="4">
        <f t="shared" si="1"/>
        <v>0.21527777777777776</v>
      </c>
      <c r="G6" s="9">
        <f>H7+(C6/1440)</f>
        <v>0.25763888888888875</v>
      </c>
      <c r="H6" s="4">
        <f t="shared" si="0"/>
        <v>0.25798611111111097</v>
      </c>
      <c r="J6">
        <v>22</v>
      </c>
      <c r="K6" t="s">
        <v>52</v>
      </c>
      <c r="L6">
        <v>30</v>
      </c>
      <c r="M6" t="s">
        <v>50</v>
      </c>
    </row>
    <row r="7" spans="2:13" x14ac:dyDescent="0.25">
      <c r="B7" s="5" t="s">
        <v>15</v>
      </c>
      <c r="C7" s="8">
        <v>2</v>
      </c>
      <c r="D7" s="8">
        <v>60</v>
      </c>
      <c r="E7" s="9">
        <f>F6+(C6/1440)</f>
        <v>0.21736111111111109</v>
      </c>
      <c r="F7" s="4">
        <f t="shared" si="1"/>
        <v>0.21805555555555553</v>
      </c>
      <c r="G7" s="9">
        <f>H8+(C7/1440)</f>
        <v>0.25486111111111098</v>
      </c>
      <c r="H7" s="4">
        <f t="shared" si="0"/>
        <v>0.25555555555555542</v>
      </c>
      <c r="J7">
        <v>3</v>
      </c>
      <c r="K7" t="s">
        <v>52</v>
      </c>
      <c r="L7">
        <v>60</v>
      </c>
      <c r="M7" t="s">
        <v>51</v>
      </c>
    </row>
    <row r="8" spans="2:13" x14ac:dyDescent="0.25">
      <c r="B8" s="5" t="s">
        <v>30</v>
      </c>
      <c r="C8" s="8">
        <v>2</v>
      </c>
      <c r="D8" s="8">
        <v>30</v>
      </c>
      <c r="E8" s="9">
        <f>F7+(C7/1440)</f>
        <v>0.21944444444444441</v>
      </c>
      <c r="F8" s="4">
        <f t="shared" si="1"/>
        <v>0.21979166666666664</v>
      </c>
      <c r="G8" s="9">
        <f>H9+(C8/1440)</f>
        <v>0.25312499999999988</v>
      </c>
      <c r="H8" s="4">
        <f t="shared" si="0"/>
        <v>0.2534722222222221</v>
      </c>
      <c r="J8">
        <v>22</v>
      </c>
      <c r="K8" t="s">
        <v>52</v>
      </c>
      <c r="L8">
        <v>30</v>
      </c>
      <c r="M8" t="s">
        <v>51</v>
      </c>
    </row>
    <row r="9" spans="2:13" x14ac:dyDescent="0.25">
      <c r="B9" s="5" t="s">
        <v>12</v>
      </c>
      <c r="C9" s="8">
        <v>2</v>
      </c>
      <c r="D9" s="8">
        <v>60</v>
      </c>
      <c r="E9" s="9">
        <f>F8+(C8/1440)</f>
        <v>0.22118055555555552</v>
      </c>
      <c r="F9" s="4">
        <f t="shared" si="1"/>
        <v>0.22187499999999996</v>
      </c>
      <c r="G9" s="9">
        <f>H10+(C9/1440)</f>
        <v>0.25104166666666655</v>
      </c>
      <c r="H9" s="4">
        <f t="shared" si="0"/>
        <v>0.25173611111111099</v>
      </c>
    </row>
    <row r="10" spans="2:13" x14ac:dyDescent="0.25">
      <c r="B10" s="5" t="s">
        <v>31</v>
      </c>
      <c r="C10" s="8">
        <v>1</v>
      </c>
      <c r="D10" s="8">
        <v>30</v>
      </c>
      <c r="E10" s="9">
        <f>F9+(C9/1440)</f>
        <v>0.22326388888888885</v>
      </c>
      <c r="F10" s="4">
        <f t="shared" si="1"/>
        <v>0.22361111111111107</v>
      </c>
      <c r="G10" s="9">
        <f>H11+(C10/1440)</f>
        <v>0.24930555555555542</v>
      </c>
      <c r="H10" s="4">
        <f t="shared" si="0"/>
        <v>0.24965277777777764</v>
      </c>
    </row>
    <row r="11" spans="2:13" x14ac:dyDescent="0.25">
      <c r="B11" s="5" t="s">
        <v>32</v>
      </c>
      <c r="C11" s="8">
        <v>2</v>
      </c>
      <c r="D11" s="8">
        <v>30</v>
      </c>
      <c r="E11" s="9">
        <f>F10+(C10/1440)</f>
        <v>0.22430555555555551</v>
      </c>
      <c r="F11" s="4">
        <f t="shared" si="1"/>
        <v>0.22465277777777773</v>
      </c>
      <c r="G11" s="9">
        <f>H12+(C11/1440)</f>
        <v>0.24826388888888876</v>
      </c>
      <c r="H11" s="4">
        <f t="shared" si="0"/>
        <v>0.24861111111111098</v>
      </c>
    </row>
    <row r="12" spans="2:13" x14ac:dyDescent="0.25">
      <c r="B12" s="5" t="s">
        <v>33</v>
      </c>
      <c r="C12" s="8">
        <v>2</v>
      </c>
      <c r="D12" s="8">
        <v>30</v>
      </c>
      <c r="E12" s="9">
        <f>F11+(C11/1440)</f>
        <v>0.22604166666666661</v>
      </c>
      <c r="F12" s="4">
        <f t="shared" si="1"/>
        <v>0.22638888888888883</v>
      </c>
      <c r="G12" s="9">
        <f>H13+(C12/1440)</f>
        <v>0.24652777777777765</v>
      </c>
      <c r="H12" s="4">
        <f t="shared" si="0"/>
        <v>0.24687499999999987</v>
      </c>
    </row>
    <row r="13" spans="2:13" x14ac:dyDescent="0.25">
      <c r="B13" s="5" t="s">
        <v>34</v>
      </c>
      <c r="C13" s="8">
        <v>2</v>
      </c>
      <c r="D13" s="8">
        <v>30</v>
      </c>
      <c r="E13" s="9">
        <f>F12+(C12/1440)</f>
        <v>0.22777777777777772</v>
      </c>
      <c r="F13" s="4">
        <f t="shared" si="1"/>
        <v>0.22812499999999994</v>
      </c>
      <c r="G13" s="9">
        <f>H14+(C13/1440)</f>
        <v>0.24479166666666655</v>
      </c>
      <c r="H13" s="4">
        <f t="shared" si="0"/>
        <v>0.24513888888888877</v>
      </c>
      <c r="K13" t="s">
        <v>53</v>
      </c>
    </row>
    <row r="14" spans="2:13" x14ac:dyDescent="0.25">
      <c r="B14" s="5" t="s">
        <v>35</v>
      </c>
      <c r="C14" s="8">
        <v>3</v>
      </c>
      <c r="D14" s="8">
        <v>30</v>
      </c>
      <c r="E14" s="9">
        <f>F13+(C13/1440)</f>
        <v>0.22951388888888882</v>
      </c>
      <c r="F14" s="4">
        <f t="shared" si="1"/>
        <v>0.22986111111111104</v>
      </c>
      <c r="G14" s="9">
        <f>H15+(C14/1440)</f>
        <v>0.24305555555555544</v>
      </c>
      <c r="H14" s="4">
        <f t="shared" si="0"/>
        <v>0.24340277777777766</v>
      </c>
      <c r="K14">
        <f>SUM(C2:C23)</f>
        <v>32</v>
      </c>
    </row>
    <row r="15" spans="2:13" x14ac:dyDescent="0.25">
      <c r="B15" s="5" t="s">
        <v>36</v>
      </c>
      <c r="C15" s="8">
        <v>2</v>
      </c>
      <c r="D15" s="8">
        <v>30</v>
      </c>
      <c r="E15" s="9">
        <f>F14+(C14/1440)</f>
        <v>0.23194444444444437</v>
      </c>
      <c r="F15" s="4">
        <f t="shared" si="1"/>
        <v>0.23229166666666659</v>
      </c>
      <c r="G15" s="9">
        <f>H16+(C15/1440)</f>
        <v>0.24062499999999989</v>
      </c>
      <c r="H15" s="4">
        <f>H16+(C15/1440)+(D15/86400)</f>
        <v>0.24097222222222212</v>
      </c>
      <c r="K15" t="s">
        <v>54</v>
      </c>
    </row>
    <row r="16" spans="2:13" x14ac:dyDescent="0.25">
      <c r="B16" s="5" t="s">
        <v>37</v>
      </c>
      <c r="C16" s="8">
        <v>3</v>
      </c>
      <c r="D16" s="8">
        <v>30</v>
      </c>
      <c r="E16" s="9">
        <f>F15+(C15/1440)</f>
        <v>0.23368055555555547</v>
      </c>
      <c r="F16" s="4">
        <f t="shared" si="1"/>
        <v>0.2340277777777777</v>
      </c>
      <c r="G16" s="9">
        <f>F17+(C16/1440)</f>
        <v>0.23888888888888879</v>
      </c>
      <c r="H16" s="4">
        <f>F17+(C16/1440)+(D16/86400)</f>
        <v>0.23923611111111101</v>
      </c>
      <c r="K16">
        <f>J5*L5+J6*L6</f>
        <v>780</v>
      </c>
    </row>
    <row r="17" spans="2:13" x14ac:dyDescent="0.25">
      <c r="B17" s="5" t="s">
        <v>38</v>
      </c>
      <c r="C17" s="8"/>
      <c r="D17" s="8">
        <v>60</v>
      </c>
      <c r="E17" s="9">
        <f>F16+(C16/1440)</f>
        <v>0.23611111111111102</v>
      </c>
      <c r="F17" s="4">
        <f t="shared" si="1"/>
        <v>0.23680555555555546</v>
      </c>
      <c r="G17" s="10"/>
      <c r="H17" s="10"/>
      <c r="K17" t="s">
        <v>55</v>
      </c>
    </row>
    <row r="18" spans="2:13" x14ac:dyDescent="0.25">
      <c r="C18" s="2"/>
      <c r="D18" s="2"/>
      <c r="E18" s="3"/>
      <c r="F18" s="3"/>
      <c r="G18" s="3"/>
      <c r="H18" s="3"/>
      <c r="K18">
        <f>K14*60+K16</f>
        <v>2700</v>
      </c>
    </row>
    <row r="19" spans="2:13" x14ac:dyDescent="0.25">
      <c r="C19" s="2"/>
      <c r="D19" s="2"/>
      <c r="E19" s="3"/>
      <c r="F19" s="3"/>
      <c r="G19" s="3"/>
      <c r="H19" s="3"/>
      <c r="K19" t="s">
        <v>56</v>
      </c>
    </row>
    <row r="20" spans="2:13" x14ac:dyDescent="0.25">
      <c r="C20" s="2"/>
      <c r="D20" s="2"/>
      <c r="E20" s="3"/>
      <c r="F20" s="3"/>
      <c r="G20" s="3"/>
      <c r="H20" s="3"/>
      <c r="K20">
        <f>K18/60</f>
        <v>45</v>
      </c>
    </row>
    <row r="21" spans="2:13" x14ac:dyDescent="0.25">
      <c r="C21" s="2"/>
      <c r="D21" s="2"/>
      <c r="E21" s="3"/>
      <c r="F21" s="3"/>
      <c r="G21" s="3"/>
      <c r="H21" s="3"/>
      <c r="K21" t="s">
        <v>58</v>
      </c>
    </row>
    <row r="22" spans="2:13" x14ac:dyDescent="0.25">
      <c r="C22" s="2"/>
      <c r="D22" s="2"/>
      <c r="E22" s="3"/>
      <c r="F22" s="3"/>
      <c r="G22" s="3"/>
      <c r="H22" s="3"/>
      <c r="K22">
        <f>J7*L7+J8*L8</f>
        <v>840</v>
      </c>
    </row>
    <row r="23" spans="2:13" x14ac:dyDescent="0.25">
      <c r="C23" s="2"/>
      <c r="D23" s="2"/>
      <c r="E23" s="3"/>
      <c r="F23" s="3"/>
      <c r="G23" s="3"/>
      <c r="H23" s="3"/>
      <c r="K23" t="s">
        <v>59</v>
      </c>
    </row>
    <row r="24" spans="2:13" x14ac:dyDescent="0.25">
      <c r="C24" s="2"/>
      <c r="D24" s="2"/>
      <c r="E24" s="3"/>
      <c r="F24" s="3"/>
      <c r="G24" s="3"/>
      <c r="H24" s="3"/>
      <c r="K24">
        <f>K18+K14*60+K22</f>
        <v>5460</v>
      </c>
    </row>
    <row r="25" spans="2:13" x14ac:dyDescent="0.25">
      <c r="C25" s="2"/>
      <c r="D25" s="2"/>
      <c r="E25" s="3"/>
      <c r="F25" s="2"/>
      <c r="G25" s="2"/>
      <c r="H25" s="2"/>
      <c r="K25" t="s">
        <v>57</v>
      </c>
    </row>
    <row r="26" spans="2:13" x14ac:dyDescent="0.25">
      <c r="C26" s="2"/>
      <c r="D26" s="2"/>
      <c r="E26" s="3"/>
      <c r="F26" s="2"/>
      <c r="G26" s="2"/>
      <c r="H26" s="2"/>
      <c r="K26">
        <f>K24/60</f>
        <v>91</v>
      </c>
    </row>
    <row r="27" spans="2:13" x14ac:dyDescent="0.25">
      <c r="C27" s="2"/>
      <c r="D27" s="2"/>
      <c r="E27" s="2"/>
      <c r="F27" s="2"/>
      <c r="G27" s="2"/>
      <c r="H27" s="2"/>
    </row>
    <row r="29" spans="2:13" x14ac:dyDescent="0.25">
      <c r="K29" t="s">
        <v>66</v>
      </c>
      <c r="M29" s="1" t="s">
        <v>61</v>
      </c>
    </row>
    <row r="30" spans="2:13" x14ac:dyDescent="0.25">
      <c r="K30" t="s">
        <v>67</v>
      </c>
      <c r="M30" s="1" t="s">
        <v>68</v>
      </c>
    </row>
    <row r="31" spans="2:13" x14ac:dyDescent="0.25">
      <c r="K31" t="s">
        <v>69</v>
      </c>
      <c r="M31">
        <f>H23+(C22/1440)+(D22/86400)</f>
        <v>0</v>
      </c>
    </row>
  </sheetData>
  <sheetProtection algorithmName="SHA-512" hashValue="Xoqd82nRAn+W8oE7Q/m/JQ2bOr7707649HlKt6OO3uVdyY7wEM1WUYPfAKlyTbNTppKSL9kszPVueKtZfi3vnA==" saltValue="feDVRPBj0N1ni4LV54pZkg==" spinCount="100000" sheet="1" objects="1" scenarios="1"/>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A8FD4-58BC-4D16-96CF-5956B30FF911}">
  <dimension ref="B1:M31"/>
  <sheetViews>
    <sheetView workbookViewId="0">
      <selection activeCell="G28" sqref="G28"/>
    </sheetView>
  </sheetViews>
  <sheetFormatPr baseColWidth="10" defaultRowHeight="15" x14ac:dyDescent="0.25"/>
  <cols>
    <col min="2" max="2" width="18.7109375" bestFit="1" customWidth="1"/>
    <col min="3" max="4" width="8.5703125" bestFit="1" customWidth="1"/>
    <col min="5" max="5" width="12.28515625" customWidth="1"/>
    <col min="7" max="8" width="12.28515625" customWidth="1"/>
    <col min="12" max="12" width="12.7109375" customWidth="1"/>
  </cols>
  <sheetData>
    <row r="1" spans="2:13" x14ac:dyDescent="0.25">
      <c r="B1" s="5" t="s">
        <v>46</v>
      </c>
      <c r="C1" s="5" t="s">
        <v>47</v>
      </c>
      <c r="D1" s="5" t="s">
        <v>60</v>
      </c>
      <c r="E1" s="7" t="s">
        <v>64</v>
      </c>
      <c r="F1" s="6" t="s">
        <v>63</v>
      </c>
      <c r="G1" s="7" t="s">
        <v>65</v>
      </c>
      <c r="H1" s="6" t="s">
        <v>62</v>
      </c>
    </row>
    <row r="2" spans="2:13" x14ac:dyDescent="0.25">
      <c r="B2" s="5" t="s">
        <v>40</v>
      </c>
      <c r="C2" s="8">
        <v>4</v>
      </c>
      <c r="D2" s="8">
        <v>60</v>
      </c>
      <c r="E2" s="9"/>
      <c r="F2" s="4">
        <v>0.20833333333333334</v>
      </c>
      <c r="G2" s="9">
        <f>H3+(C2/1440)</f>
        <v>0.24826388888888876</v>
      </c>
      <c r="H2" s="4"/>
    </row>
    <row r="3" spans="2:13" x14ac:dyDescent="0.25">
      <c r="B3" s="5" t="s">
        <v>41</v>
      </c>
      <c r="C3" s="8">
        <v>2</v>
      </c>
      <c r="D3" s="8">
        <v>30</v>
      </c>
      <c r="E3" s="9">
        <f>F2+(C2/1440)</f>
        <v>0.21111111111111111</v>
      </c>
      <c r="F3" s="4">
        <f>F2+(C2/1440)+(D3/86400)</f>
        <v>0.21145833333333333</v>
      </c>
      <c r="G3" s="9">
        <f>H4+(C3/1440)</f>
        <v>0.24513888888888877</v>
      </c>
      <c r="H3" s="4">
        <f t="shared" ref="H3:H10" si="0">H4+(C3/1440)+(D3/86400)</f>
        <v>0.24548611111111099</v>
      </c>
    </row>
    <row r="4" spans="2:13" x14ac:dyDescent="0.25">
      <c r="B4" s="5" t="s">
        <v>29</v>
      </c>
      <c r="C4" s="8">
        <v>3</v>
      </c>
      <c r="D4" s="8">
        <v>30</v>
      </c>
      <c r="E4" s="9">
        <f>F3+(C3/1440)</f>
        <v>0.21284722222222222</v>
      </c>
      <c r="F4" s="4">
        <f t="shared" ref="F4:F12" si="1">F3+(C3/1440)+(D4/86400)</f>
        <v>0.21319444444444444</v>
      </c>
      <c r="G4" s="9">
        <f>H5+(C4/1440)</f>
        <v>0.24340277777777766</v>
      </c>
      <c r="H4" s="4">
        <f t="shared" si="0"/>
        <v>0.24374999999999988</v>
      </c>
      <c r="K4" t="s">
        <v>49</v>
      </c>
    </row>
    <row r="5" spans="2:13" x14ac:dyDescent="0.25">
      <c r="B5" s="5" t="s">
        <v>15</v>
      </c>
      <c r="C5" s="8">
        <v>2</v>
      </c>
      <c r="D5" s="8">
        <v>30</v>
      </c>
      <c r="E5" s="9">
        <f>F4+(C4/1440)</f>
        <v>0.21527777777777776</v>
      </c>
      <c r="F5" s="4">
        <f t="shared" si="1"/>
        <v>0.21562499999999998</v>
      </c>
      <c r="G5" s="9">
        <f>H6+(C5/1440)</f>
        <v>0.24097222222222212</v>
      </c>
      <c r="H5" s="4">
        <f t="shared" si="0"/>
        <v>0.24131944444444434</v>
      </c>
      <c r="J5">
        <v>2</v>
      </c>
      <c r="K5" t="s">
        <v>52</v>
      </c>
      <c r="L5">
        <v>60</v>
      </c>
      <c r="M5" t="s">
        <v>50</v>
      </c>
    </row>
    <row r="6" spans="2:13" x14ac:dyDescent="0.25">
      <c r="B6" s="5" t="s">
        <v>30</v>
      </c>
      <c r="C6" s="8">
        <v>2</v>
      </c>
      <c r="D6" s="8">
        <v>30</v>
      </c>
      <c r="E6" s="9">
        <f>F5+(C5/1440)</f>
        <v>0.21701388888888887</v>
      </c>
      <c r="F6" s="4">
        <f t="shared" si="1"/>
        <v>0.21736111111111109</v>
      </c>
      <c r="G6" s="9">
        <f>H7+(C6/1440)</f>
        <v>0.23923611111111101</v>
      </c>
      <c r="H6" s="4">
        <f t="shared" si="0"/>
        <v>0.23958333333333323</v>
      </c>
      <c r="J6">
        <v>22</v>
      </c>
      <c r="K6" t="s">
        <v>52</v>
      </c>
      <c r="L6">
        <v>30</v>
      </c>
      <c r="M6" t="s">
        <v>50</v>
      </c>
    </row>
    <row r="7" spans="2:13" x14ac:dyDescent="0.25">
      <c r="B7" s="5" t="s">
        <v>12</v>
      </c>
      <c r="C7" s="8">
        <v>2</v>
      </c>
      <c r="D7" s="8">
        <v>60</v>
      </c>
      <c r="E7" s="9">
        <f>F6+(C6/1440)</f>
        <v>0.21874999999999997</v>
      </c>
      <c r="F7" s="4">
        <f t="shared" si="1"/>
        <v>0.21944444444444441</v>
      </c>
      <c r="G7" s="9">
        <f>H8+(C7/1440)</f>
        <v>0.23715277777777768</v>
      </c>
      <c r="H7" s="4">
        <f t="shared" si="0"/>
        <v>0.23784722222222213</v>
      </c>
      <c r="J7">
        <v>3</v>
      </c>
      <c r="K7" t="s">
        <v>52</v>
      </c>
      <c r="L7">
        <v>60</v>
      </c>
      <c r="M7" t="s">
        <v>51</v>
      </c>
    </row>
    <row r="8" spans="2:13" x14ac:dyDescent="0.25">
      <c r="B8" s="5" t="s">
        <v>31</v>
      </c>
      <c r="C8" s="8">
        <v>1</v>
      </c>
      <c r="D8" s="8">
        <v>30</v>
      </c>
      <c r="E8" s="9">
        <f>F7+(C7/1440)</f>
        <v>0.2208333333333333</v>
      </c>
      <c r="F8" s="4">
        <f t="shared" si="1"/>
        <v>0.22118055555555552</v>
      </c>
      <c r="G8" s="9">
        <f>H9+(C8/1440)</f>
        <v>0.23541666666666658</v>
      </c>
      <c r="H8" s="4">
        <f t="shared" si="0"/>
        <v>0.2357638888888888</v>
      </c>
      <c r="J8">
        <v>22</v>
      </c>
      <c r="K8" t="s">
        <v>52</v>
      </c>
      <c r="L8">
        <v>30</v>
      </c>
      <c r="M8" t="s">
        <v>51</v>
      </c>
    </row>
    <row r="9" spans="2:13" x14ac:dyDescent="0.25">
      <c r="B9" s="5" t="s">
        <v>32</v>
      </c>
      <c r="C9" s="8">
        <v>2</v>
      </c>
      <c r="D9" s="8">
        <v>60</v>
      </c>
      <c r="E9" s="9">
        <f>F8+(C8/1440)</f>
        <v>0.22187499999999996</v>
      </c>
      <c r="F9" s="4">
        <f t="shared" si="1"/>
        <v>0.2225694444444444</v>
      </c>
      <c r="G9" s="9">
        <f>H10+(C9/1440)</f>
        <v>0.2340277777777777</v>
      </c>
      <c r="H9" s="4">
        <f t="shared" si="0"/>
        <v>0.23472222222222214</v>
      </c>
    </row>
    <row r="10" spans="2:13" x14ac:dyDescent="0.25">
      <c r="B10" s="5" t="s">
        <v>42</v>
      </c>
      <c r="C10" s="8">
        <v>3</v>
      </c>
      <c r="D10" s="8">
        <v>30</v>
      </c>
      <c r="E10" s="9">
        <f>F9+(C9/1440)</f>
        <v>0.22395833333333329</v>
      </c>
      <c r="F10" s="4">
        <f t="shared" si="1"/>
        <v>0.22430555555555551</v>
      </c>
      <c r="G10" s="9">
        <f>H11+(C10/1440)</f>
        <v>0.23229166666666659</v>
      </c>
      <c r="H10" s="4">
        <f t="shared" si="0"/>
        <v>0.23263888888888881</v>
      </c>
    </row>
    <row r="11" spans="2:13" x14ac:dyDescent="0.25">
      <c r="B11" s="5" t="s">
        <v>43</v>
      </c>
      <c r="C11" s="8">
        <v>2</v>
      </c>
      <c r="D11" s="8">
        <v>30</v>
      </c>
      <c r="E11" s="9">
        <f>F10+(C10/1440)</f>
        <v>0.22638888888888883</v>
      </c>
      <c r="F11" s="4">
        <f t="shared" si="1"/>
        <v>0.22673611111111105</v>
      </c>
      <c r="G11" s="9">
        <f>F12+(C11/1440)</f>
        <v>0.22986111111111104</v>
      </c>
      <c r="H11" s="4">
        <f>F12+(C11/1440)+(D11/86400)</f>
        <v>0.23020833333333326</v>
      </c>
    </row>
    <row r="12" spans="2:13" x14ac:dyDescent="0.25">
      <c r="B12" s="5" t="s">
        <v>44</v>
      </c>
      <c r="C12" s="8"/>
      <c r="D12" s="8">
        <v>30</v>
      </c>
      <c r="E12" s="9">
        <f>F11+(C11/1440)</f>
        <v>0.22812499999999994</v>
      </c>
      <c r="F12" s="4">
        <f t="shared" si="1"/>
        <v>0.22847222222222216</v>
      </c>
      <c r="G12" s="10"/>
      <c r="H12" s="10"/>
    </row>
    <row r="13" spans="2:13" x14ac:dyDescent="0.25">
      <c r="C13" s="2"/>
      <c r="D13" s="2"/>
      <c r="E13" s="3"/>
      <c r="F13" s="3"/>
      <c r="G13" s="3"/>
      <c r="H13" s="3"/>
      <c r="K13" t="s">
        <v>53</v>
      </c>
    </row>
    <row r="14" spans="2:13" x14ac:dyDescent="0.25">
      <c r="C14" s="2"/>
      <c r="D14" s="2"/>
      <c r="E14" s="3"/>
      <c r="F14" s="3"/>
      <c r="G14" s="3"/>
      <c r="H14" s="3"/>
      <c r="K14">
        <f>SUM(C2:C23)</f>
        <v>23</v>
      </c>
    </row>
    <row r="15" spans="2:13" x14ac:dyDescent="0.25">
      <c r="C15" s="2"/>
      <c r="D15" s="2"/>
      <c r="E15" s="3"/>
      <c r="F15" s="3"/>
      <c r="G15" s="3"/>
      <c r="H15" s="3"/>
      <c r="K15" t="s">
        <v>54</v>
      </c>
    </row>
    <row r="16" spans="2:13" x14ac:dyDescent="0.25">
      <c r="C16" s="2"/>
      <c r="D16" s="2"/>
      <c r="E16" s="3"/>
      <c r="F16" s="3"/>
      <c r="G16" s="3"/>
      <c r="H16" s="3"/>
      <c r="K16">
        <f>J5*L5+J6*L6</f>
        <v>780</v>
      </c>
    </row>
    <row r="17" spans="3:13" x14ac:dyDescent="0.25">
      <c r="C17" s="2"/>
      <c r="D17" s="2"/>
      <c r="E17" s="3"/>
      <c r="F17" s="3"/>
      <c r="G17" s="3"/>
      <c r="H17" s="3"/>
      <c r="K17" t="s">
        <v>55</v>
      </c>
    </row>
    <row r="18" spans="3:13" x14ac:dyDescent="0.25">
      <c r="C18" s="2"/>
      <c r="D18" s="2"/>
      <c r="E18" s="3"/>
      <c r="F18" s="3"/>
      <c r="G18" s="3"/>
      <c r="H18" s="3"/>
      <c r="K18">
        <f>K14*60+K16</f>
        <v>2160</v>
      </c>
    </row>
    <row r="19" spans="3:13" x14ac:dyDescent="0.25">
      <c r="C19" s="2"/>
      <c r="D19" s="2"/>
      <c r="E19" s="3"/>
      <c r="F19" s="3"/>
      <c r="G19" s="3"/>
      <c r="H19" s="3"/>
      <c r="K19" t="s">
        <v>56</v>
      </c>
    </row>
    <row r="20" spans="3:13" x14ac:dyDescent="0.25">
      <c r="C20" s="2"/>
      <c r="D20" s="2"/>
      <c r="E20" s="3"/>
      <c r="F20" s="3"/>
      <c r="G20" s="3"/>
      <c r="H20" s="3"/>
      <c r="K20">
        <f>K18/60</f>
        <v>36</v>
      </c>
    </row>
    <row r="21" spans="3:13" x14ac:dyDescent="0.25">
      <c r="C21" s="2"/>
      <c r="D21" s="2"/>
      <c r="E21" s="3"/>
      <c r="F21" s="3"/>
      <c r="G21" s="3"/>
      <c r="H21" s="3"/>
      <c r="K21" t="s">
        <v>58</v>
      </c>
    </row>
    <row r="22" spans="3:13" x14ac:dyDescent="0.25">
      <c r="C22" s="2"/>
      <c r="D22" s="2"/>
      <c r="E22" s="3"/>
      <c r="F22" s="3"/>
      <c r="G22" s="3"/>
      <c r="H22" s="3"/>
      <c r="K22">
        <f>J7*L7+J8*L8</f>
        <v>840</v>
      </c>
    </row>
    <row r="23" spans="3:13" x14ac:dyDescent="0.25">
      <c r="C23" s="2"/>
      <c r="D23" s="2"/>
      <c r="E23" s="3"/>
      <c r="F23" s="3"/>
      <c r="G23" s="3"/>
      <c r="H23" s="3"/>
      <c r="K23" t="s">
        <v>59</v>
      </c>
    </row>
    <row r="24" spans="3:13" x14ac:dyDescent="0.25">
      <c r="C24" s="2"/>
      <c r="D24" s="2"/>
      <c r="E24" s="3"/>
      <c r="F24" s="3"/>
      <c r="G24" s="3"/>
      <c r="H24" s="3"/>
      <c r="K24">
        <f>K18+K14*60+K22</f>
        <v>4380</v>
      </c>
    </row>
    <row r="25" spans="3:13" x14ac:dyDescent="0.25">
      <c r="C25" s="2"/>
      <c r="D25" s="2"/>
      <c r="E25" s="3"/>
      <c r="F25" s="2"/>
      <c r="G25" s="2"/>
      <c r="H25" s="2"/>
      <c r="K25" t="s">
        <v>57</v>
      </c>
    </row>
    <row r="26" spans="3:13" x14ac:dyDescent="0.25">
      <c r="C26" s="2"/>
      <c r="D26" s="2"/>
      <c r="E26" s="3"/>
      <c r="F26" s="2"/>
      <c r="G26" s="2"/>
      <c r="H26" s="2"/>
      <c r="K26">
        <f>K24/60</f>
        <v>73</v>
      </c>
    </row>
    <row r="27" spans="3:13" x14ac:dyDescent="0.25">
      <c r="C27" s="2"/>
      <c r="D27" s="2"/>
      <c r="E27" s="2"/>
      <c r="F27" s="2"/>
      <c r="G27" s="2"/>
      <c r="H27" s="2"/>
    </row>
    <row r="29" spans="3:13" x14ac:dyDescent="0.25">
      <c r="K29" t="s">
        <v>66</v>
      </c>
      <c r="M29" s="1" t="s">
        <v>61</v>
      </c>
    </row>
    <row r="30" spans="3:13" x14ac:dyDescent="0.25">
      <c r="K30" t="s">
        <v>67</v>
      </c>
      <c r="M30" s="1" t="s">
        <v>68</v>
      </c>
    </row>
    <row r="31" spans="3:13" x14ac:dyDescent="0.25">
      <c r="K31" t="s">
        <v>69</v>
      </c>
      <c r="M31">
        <f>H23+(C22/1440)+(D22/86400)</f>
        <v>0</v>
      </c>
    </row>
  </sheetData>
  <sheetProtection algorithmName="SHA-512" hashValue="N/Eyo7HyBWCeZvGhUxvpQ6qULiOz1h0msqWgCr20lMx+aQKNeo9l3asiAKEsH2KNfG/ntriktEuXRuPKhdH2LQ==" saltValue="OveyRyimS5NnfzvE0c+Ujg==" spinCount="100000" sheet="1" objects="1" scenarios="1"/>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35DE8-F729-48E0-994B-B601A91ECF8E}">
  <dimension ref="B1:M31"/>
  <sheetViews>
    <sheetView workbookViewId="0">
      <selection activeCell="I30" sqref="I30"/>
    </sheetView>
  </sheetViews>
  <sheetFormatPr baseColWidth="10" defaultRowHeight="15" x14ac:dyDescent="0.25"/>
  <cols>
    <col min="2" max="2" width="18.7109375" bestFit="1" customWidth="1"/>
    <col min="3" max="4" width="8.5703125" bestFit="1" customWidth="1"/>
    <col min="5" max="5" width="12.28515625" customWidth="1"/>
    <col min="7" max="8" width="12.28515625" customWidth="1"/>
    <col min="12" max="12" width="12.7109375" customWidth="1"/>
  </cols>
  <sheetData>
    <row r="1" spans="2:13" x14ac:dyDescent="0.25">
      <c r="B1" s="5" t="s">
        <v>46</v>
      </c>
      <c r="C1" s="5" t="s">
        <v>47</v>
      </c>
      <c r="D1" s="5" t="s">
        <v>60</v>
      </c>
      <c r="E1" s="7" t="s">
        <v>64</v>
      </c>
      <c r="F1" s="6" t="s">
        <v>63</v>
      </c>
      <c r="G1" s="7" t="s">
        <v>65</v>
      </c>
      <c r="H1" s="6" t="s">
        <v>62</v>
      </c>
    </row>
    <row r="2" spans="2:13" x14ac:dyDescent="0.25">
      <c r="B2" s="5" t="s">
        <v>1</v>
      </c>
      <c r="C2" s="8">
        <v>3</v>
      </c>
      <c r="D2" s="8">
        <v>60</v>
      </c>
      <c r="E2" s="9"/>
      <c r="F2" s="11">
        <v>0.20833333333333334</v>
      </c>
      <c r="G2" s="9">
        <f>H3+(C2/1440)</f>
        <v>0.29166666666666641</v>
      </c>
      <c r="H2" s="4"/>
    </row>
    <row r="3" spans="2:13" x14ac:dyDescent="0.25">
      <c r="B3" s="5" t="s">
        <v>2</v>
      </c>
      <c r="C3" s="8">
        <v>2</v>
      </c>
      <c r="D3" s="8">
        <v>30</v>
      </c>
      <c r="E3" s="9">
        <f>F2+(C2/1440)</f>
        <v>0.21041666666666667</v>
      </c>
      <c r="F3" s="4">
        <f>F2+(C2/1440)+(D3/86400)</f>
        <v>0.21076388888888889</v>
      </c>
      <c r="G3" s="9">
        <f>H4+(C3/1440)</f>
        <v>0.28923611111111086</v>
      </c>
      <c r="H3" s="4">
        <f>H4+(C3/1440)+(D3/86400)</f>
        <v>0.28958333333333308</v>
      </c>
    </row>
    <row r="4" spans="2:13" x14ac:dyDescent="0.25">
      <c r="B4" s="5" t="s">
        <v>3</v>
      </c>
      <c r="C4" s="8">
        <v>2</v>
      </c>
      <c r="D4" s="8">
        <v>30</v>
      </c>
      <c r="E4" s="9">
        <f>F3+(C3/1440)</f>
        <v>0.21215277777777777</v>
      </c>
      <c r="F4" s="4">
        <f t="shared" ref="F4:F24" si="0">F3+(C3/1440)+(D4/86400)</f>
        <v>0.21249999999999999</v>
      </c>
      <c r="G4" s="9">
        <f>H5+(C4/1440)</f>
        <v>0.28749999999999976</v>
      </c>
      <c r="H4" s="4">
        <f>H5+(C4/1440)+(D4/86400)</f>
        <v>0.28784722222222198</v>
      </c>
      <c r="K4" t="s">
        <v>49</v>
      </c>
    </row>
    <row r="5" spans="2:13" x14ac:dyDescent="0.25">
      <c r="B5" s="5" t="s">
        <v>4</v>
      </c>
      <c r="C5" s="8">
        <v>3</v>
      </c>
      <c r="D5" s="8">
        <v>30</v>
      </c>
      <c r="E5" s="9">
        <f>F4+(C4/1440)</f>
        <v>0.21388888888888888</v>
      </c>
      <c r="F5" s="4">
        <f t="shared" si="0"/>
        <v>0.2142361111111111</v>
      </c>
      <c r="G5" s="9">
        <f>H6+(C5/1440)</f>
        <v>0.28576388888888865</v>
      </c>
      <c r="H5" s="4">
        <f>H6+(C5/1440)+(D5/86400)</f>
        <v>0.28611111111111087</v>
      </c>
      <c r="J5">
        <v>2</v>
      </c>
      <c r="K5" t="s">
        <v>52</v>
      </c>
      <c r="L5">
        <v>60</v>
      </c>
      <c r="M5" t="s">
        <v>50</v>
      </c>
    </row>
    <row r="6" spans="2:13" x14ac:dyDescent="0.25">
      <c r="B6" s="5" t="s">
        <v>5</v>
      </c>
      <c r="C6" s="8">
        <v>2</v>
      </c>
      <c r="D6" s="8">
        <v>30</v>
      </c>
      <c r="E6" s="9">
        <f>F5+(C5/1440)</f>
        <v>0.21631944444444443</v>
      </c>
      <c r="F6" s="4">
        <f t="shared" si="0"/>
        <v>0.21666666666666665</v>
      </c>
      <c r="G6" s="9">
        <f>H7+(C6/1440)</f>
        <v>0.2833333333333331</v>
      </c>
      <c r="H6" s="4">
        <f>H7+(C6/1440)+(D6/86400)</f>
        <v>0.28368055555555532</v>
      </c>
      <c r="J6">
        <v>22</v>
      </c>
      <c r="K6" t="s">
        <v>52</v>
      </c>
      <c r="L6">
        <v>30</v>
      </c>
      <c r="M6" t="s">
        <v>50</v>
      </c>
    </row>
    <row r="7" spans="2:13" x14ac:dyDescent="0.25">
      <c r="B7" s="5" t="s">
        <v>6</v>
      </c>
      <c r="C7" s="8">
        <v>3</v>
      </c>
      <c r="D7" s="8">
        <v>30</v>
      </c>
      <c r="E7" s="9">
        <f>F6+(C6/1440)</f>
        <v>0.21805555555555553</v>
      </c>
      <c r="F7" s="4">
        <f t="shared" si="0"/>
        <v>0.21840277777777775</v>
      </c>
      <c r="G7" s="9">
        <f>H8+(C7/1440)</f>
        <v>0.281597222222222</v>
      </c>
      <c r="H7" s="4">
        <f>H8+(C7/1440)+(D7/86400)</f>
        <v>0.28194444444444422</v>
      </c>
      <c r="J7">
        <v>3</v>
      </c>
      <c r="K7" t="s">
        <v>52</v>
      </c>
      <c r="L7">
        <v>60</v>
      </c>
      <c r="M7" t="s">
        <v>51</v>
      </c>
    </row>
    <row r="8" spans="2:13" x14ac:dyDescent="0.25">
      <c r="B8" s="5" t="s">
        <v>7</v>
      </c>
      <c r="C8" s="8">
        <v>2</v>
      </c>
      <c r="D8" s="8">
        <v>30</v>
      </c>
      <c r="E8" s="9">
        <f>F7+(C7/1440)</f>
        <v>0.22048611111111108</v>
      </c>
      <c r="F8" s="4">
        <f t="shared" si="0"/>
        <v>0.2208333333333333</v>
      </c>
      <c r="G8" s="9">
        <f>H9+(C8/1440)</f>
        <v>0.27916666666666645</v>
      </c>
      <c r="H8" s="4">
        <f>H9+(C8/1440)+(D8/86400)</f>
        <v>0.27951388888888867</v>
      </c>
      <c r="J8">
        <v>22</v>
      </c>
      <c r="K8" t="s">
        <v>52</v>
      </c>
      <c r="L8">
        <v>30</v>
      </c>
      <c r="M8" t="s">
        <v>51</v>
      </c>
    </row>
    <row r="9" spans="2:13" x14ac:dyDescent="0.25">
      <c r="B9" s="5" t="s">
        <v>8</v>
      </c>
      <c r="C9" s="8">
        <v>2</v>
      </c>
      <c r="D9" s="8">
        <v>30</v>
      </c>
      <c r="E9" s="9">
        <f>F8+(C8/1440)</f>
        <v>0.22222222222222218</v>
      </c>
      <c r="F9" s="4">
        <f t="shared" si="0"/>
        <v>0.2225694444444444</v>
      </c>
      <c r="G9" s="9">
        <f>H10+(C9/1440)</f>
        <v>0.27743055555555535</v>
      </c>
      <c r="H9" s="4">
        <f>H10+(C9/1440)+(D9/86400)</f>
        <v>0.27777777777777757</v>
      </c>
    </row>
    <row r="10" spans="2:13" x14ac:dyDescent="0.25">
      <c r="B10" s="5" t="s">
        <v>9</v>
      </c>
      <c r="C10" s="8">
        <v>2</v>
      </c>
      <c r="D10" s="8">
        <v>30</v>
      </c>
      <c r="E10" s="9">
        <f>F9+(C9/1440)</f>
        <v>0.22395833333333329</v>
      </c>
      <c r="F10" s="4">
        <f t="shared" si="0"/>
        <v>0.22430555555555551</v>
      </c>
      <c r="G10" s="9">
        <f>H11+(C10/1440)</f>
        <v>0.27569444444444424</v>
      </c>
      <c r="H10" s="4">
        <f>H11+(C10/1440)+(D10/86400)</f>
        <v>0.27604166666666646</v>
      </c>
    </row>
    <row r="11" spans="2:13" x14ac:dyDescent="0.25">
      <c r="B11" s="5" t="s">
        <v>10</v>
      </c>
      <c r="C11" s="8">
        <v>1</v>
      </c>
      <c r="D11" s="8">
        <v>30</v>
      </c>
      <c r="E11" s="9">
        <f>F10+(C10/1440)</f>
        <v>0.22569444444444439</v>
      </c>
      <c r="F11" s="4">
        <f t="shared" si="0"/>
        <v>0.22604166666666661</v>
      </c>
      <c r="G11" s="9">
        <f>H12+(C11/1440)</f>
        <v>0.27395833333333314</v>
      </c>
      <c r="H11" s="4">
        <f>H12+(C11/1440)+(D11/86400)</f>
        <v>0.27430555555555536</v>
      </c>
    </row>
    <row r="12" spans="2:13" x14ac:dyDescent="0.25">
      <c r="B12" s="5" t="s">
        <v>11</v>
      </c>
      <c r="C12" s="8">
        <v>2</v>
      </c>
      <c r="D12" s="8">
        <v>30</v>
      </c>
      <c r="E12" s="9">
        <f>F11+(C11/1440)</f>
        <v>0.22673611111111105</v>
      </c>
      <c r="F12" s="4">
        <f t="shared" si="0"/>
        <v>0.22708333333333328</v>
      </c>
      <c r="G12" s="9">
        <f>H13+(C12/1440)</f>
        <v>0.27291666666666647</v>
      </c>
      <c r="H12" s="4">
        <f>H13+(C12/1440)+(D12/86400)</f>
        <v>0.2732638888888887</v>
      </c>
    </row>
    <row r="13" spans="2:13" x14ac:dyDescent="0.25">
      <c r="B13" s="5" t="s">
        <v>12</v>
      </c>
      <c r="C13" s="8">
        <v>2</v>
      </c>
      <c r="D13" s="8">
        <v>60</v>
      </c>
      <c r="E13" s="9">
        <f>F12+(C12/1440)</f>
        <v>0.22847222222222216</v>
      </c>
      <c r="F13" s="4">
        <f t="shared" si="0"/>
        <v>0.2291666666666666</v>
      </c>
      <c r="G13" s="9">
        <f>H14+(C13/1440)</f>
        <v>0.27083333333333315</v>
      </c>
      <c r="H13" s="4">
        <f>H14+(C13/1440)+(D13/86400)</f>
        <v>0.27152777777777759</v>
      </c>
      <c r="K13" t="s">
        <v>53</v>
      </c>
    </row>
    <row r="14" spans="2:13" x14ac:dyDescent="0.25">
      <c r="B14" s="5" t="s">
        <v>13</v>
      </c>
      <c r="C14" s="8">
        <v>3</v>
      </c>
      <c r="D14" s="8">
        <v>30</v>
      </c>
      <c r="E14" s="9">
        <f>F13+(C13/1440)</f>
        <v>0.23055555555555549</v>
      </c>
      <c r="F14" s="4">
        <f t="shared" si="0"/>
        <v>0.23090277777777771</v>
      </c>
      <c r="G14" s="9">
        <f>H15+(C14/1440)</f>
        <v>0.26909722222222204</v>
      </c>
      <c r="H14" s="4">
        <f>H15+(C14/1440)+(D14/86400)</f>
        <v>0.26944444444444426</v>
      </c>
      <c r="K14">
        <f>SUM(C2:C23)</f>
        <v>48</v>
      </c>
    </row>
    <row r="15" spans="2:13" x14ac:dyDescent="0.25">
      <c r="B15" s="5" t="s">
        <v>14</v>
      </c>
      <c r="C15" s="8">
        <v>2</v>
      </c>
      <c r="D15" s="8">
        <v>30</v>
      </c>
      <c r="E15" s="9">
        <f>F14+(C14/1440)</f>
        <v>0.23298611111111103</v>
      </c>
      <c r="F15" s="4">
        <f t="shared" si="0"/>
        <v>0.23333333333333325</v>
      </c>
      <c r="G15" s="9">
        <f>H16+(C15/1440)</f>
        <v>0.2666666666666665</v>
      </c>
      <c r="H15" s="4">
        <f>H16+(C15/1440)+(D15/86400)</f>
        <v>0.26701388888888872</v>
      </c>
      <c r="K15" t="s">
        <v>54</v>
      </c>
    </row>
    <row r="16" spans="2:13" x14ac:dyDescent="0.25">
      <c r="B16" s="5" t="s">
        <v>15</v>
      </c>
      <c r="C16" s="8">
        <v>2</v>
      </c>
      <c r="D16" s="8">
        <v>60</v>
      </c>
      <c r="E16" s="9">
        <f>F15+(C15/1440)</f>
        <v>0.23472222222222214</v>
      </c>
      <c r="F16" s="4">
        <f t="shared" si="0"/>
        <v>0.23541666666666658</v>
      </c>
      <c r="G16" s="9">
        <f>H17+(C16/1440)</f>
        <v>0.26458333333333317</v>
      </c>
      <c r="H16" s="4">
        <f>H17+(C16/1440)+(D16/86400)</f>
        <v>0.26527777777777761</v>
      </c>
      <c r="K16">
        <f>J5*L5+J6*L6</f>
        <v>780</v>
      </c>
    </row>
    <row r="17" spans="2:13" x14ac:dyDescent="0.25">
      <c r="B17" s="5" t="s">
        <v>16</v>
      </c>
      <c r="C17" s="8">
        <v>1</v>
      </c>
      <c r="D17" s="8">
        <v>30</v>
      </c>
      <c r="E17" s="9">
        <f>F16+(C16/1440)</f>
        <v>0.23680555555555546</v>
      </c>
      <c r="F17" s="4">
        <f t="shared" si="0"/>
        <v>0.23715277777777768</v>
      </c>
      <c r="G17" s="9">
        <f>H18+(C17/1440)</f>
        <v>0.26284722222222207</v>
      </c>
      <c r="H17" s="4">
        <f>H18+(C17/1440)+(D17/86400)</f>
        <v>0.26319444444444429</v>
      </c>
      <c r="K17" t="s">
        <v>55</v>
      </c>
    </row>
    <row r="18" spans="2:13" x14ac:dyDescent="0.25">
      <c r="B18" s="5" t="s">
        <v>17</v>
      </c>
      <c r="C18" s="8">
        <v>2</v>
      </c>
      <c r="D18" s="8">
        <v>30</v>
      </c>
      <c r="E18" s="9">
        <f>F17+(C17/1440)</f>
        <v>0.23784722222222213</v>
      </c>
      <c r="F18" s="4">
        <f t="shared" si="0"/>
        <v>0.23819444444444435</v>
      </c>
      <c r="G18" s="9">
        <f>H19+(C18/1440)</f>
        <v>0.2618055555555554</v>
      </c>
      <c r="H18" s="4">
        <f>H19+(C18/1440)+(D18/86400)</f>
        <v>0.26215277777777762</v>
      </c>
      <c r="K18">
        <f>K14*60+K16</f>
        <v>3660</v>
      </c>
    </row>
    <row r="19" spans="2:13" x14ac:dyDescent="0.25">
      <c r="B19" s="5" t="s">
        <v>18</v>
      </c>
      <c r="C19" s="8">
        <v>2</v>
      </c>
      <c r="D19" s="8">
        <v>30</v>
      </c>
      <c r="E19" s="9">
        <f>F18+(C18/1440)</f>
        <v>0.23958333333333323</v>
      </c>
      <c r="F19" s="4">
        <f t="shared" si="0"/>
        <v>0.23993055555555545</v>
      </c>
      <c r="G19" s="9">
        <f>H20+(C19/1440)</f>
        <v>0.2600694444444443</v>
      </c>
      <c r="H19" s="4">
        <f>H20+(C19/1440)+(D19/86400)</f>
        <v>0.26041666666666652</v>
      </c>
      <c r="K19" t="s">
        <v>56</v>
      </c>
    </row>
    <row r="20" spans="2:13" x14ac:dyDescent="0.25">
      <c r="B20" s="5" t="s">
        <v>19</v>
      </c>
      <c r="C20" s="8">
        <v>2</v>
      </c>
      <c r="D20" s="8">
        <v>30</v>
      </c>
      <c r="E20" s="9">
        <f>F19+(C19/1440)</f>
        <v>0.24131944444444434</v>
      </c>
      <c r="F20" s="4">
        <f t="shared" si="0"/>
        <v>0.24166666666666656</v>
      </c>
      <c r="G20" s="9">
        <f>H21+(C20/1440)</f>
        <v>0.25833333333333319</v>
      </c>
      <c r="H20" s="4">
        <f>H21+(C20/1440)+(D20/86400)</f>
        <v>0.25868055555555541</v>
      </c>
      <c r="K20">
        <f>K18/60</f>
        <v>61</v>
      </c>
    </row>
    <row r="21" spans="2:13" x14ac:dyDescent="0.25">
      <c r="B21" s="5" t="s">
        <v>20</v>
      </c>
      <c r="C21" s="8">
        <v>3</v>
      </c>
      <c r="D21" s="8">
        <v>30</v>
      </c>
      <c r="E21" s="9">
        <f>F20+(C20/1440)</f>
        <v>0.24305555555555544</v>
      </c>
      <c r="F21" s="4">
        <f t="shared" si="0"/>
        <v>0.24340277777777766</v>
      </c>
      <c r="G21" s="9">
        <f>H22+(C21/1440)</f>
        <v>0.25659722222222209</v>
      </c>
      <c r="H21" s="4">
        <f>H22+(C21/1440)+(D21/86400)</f>
        <v>0.25694444444444431</v>
      </c>
      <c r="K21" t="s">
        <v>58</v>
      </c>
    </row>
    <row r="22" spans="2:13" x14ac:dyDescent="0.25">
      <c r="B22" s="5" t="s">
        <v>21</v>
      </c>
      <c r="C22" s="8">
        <v>2</v>
      </c>
      <c r="D22" s="8">
        <v>30</v>
      </c>
      <c r="E22" s="9">
        <f>F21+(C21/1440)</f>
        <v>0.24548611111111099</v>
      </c>
      <c r="F22" s="4">
        <f t="shared" si="0"/>
        <v>0.24583333333333321</v>
      </c>
      <c r="G22" s="9">
        <f>H23+(C22/1440)</f>
        <v>0.25416666666666654</v>
      </c>
      <c r="H22" s="4">
        <f>H23+(C22/1440)+(D22/86400)</f>
        <v>0.25451388888888876</v>
      </c>
      <c r="K22">
        <f>J7*L7+J8*L8</f>
        <v>840</v>
      </c>
    </row>
    <row r="23" spans="2:13" x14ac:dyDescent="0.25">
      <c r="B23" s="5" t="s">
        <v>22</v>
      </c>
      <c r="C23" s="8">
        <v>3</v>
      </c>
      <c r="D23" s="8">
        <v>30</v>
      </c>
      <c r="E23" s="9">
        <f>F22+(C22/1440)</f>
        <v>0.24722222222222209</v>
      </c>
      <c r="F23" s="4">
        <f t="shared" si="0"/>
        <v>0.24756944444444431</v>
      </c>
      <c r="G23" s="9">
        <f>F24+(C23/1440)</f>
        <v>0.25243055555555544</v>
      </c>
      <c r="H23" s="4">
        <f>F24+(C23/1440)+(D23/86400)</f>
        <v>0.25277777777777766</v>
      </c>
      <c r="K23" t="s">
        <v>59</v>
      </c>
    </row>
    <row r="24" spans="2:13" x14ac:dyDescent="0.25">
      <c r="B24" s="5" t="s">
        <v>23</v>
      </c>
      <c r="C24" s="8"/>
      <c r="D24" s="8">
        <v>60</v>
      </c>
      <c r="E24" s="9">
        <f>F23+(C23/1440)</f>
        <v>0.24965277777777764</v>
      </c>
      <c r="F24" s="4">
        <f t="shared" si="0"/>
        <v>0.25034722222222211</v>
      </c>
      <c r="G24" s="10"/>
      <c r="H24" s="10"/>
      <c r="K24">
        <f>K18+K14*60+K22</f>
        <v>7380</v>
      </c>
    </row>
    <row r="25" spans="2:13" x14ac:dyDescent="0.25">
      <c r="C25" s="2"/>
      <c r="D25" s="2"/>
      <c r="E25" s="3"/>
      <c r="F25" s="2"/>
      <c r="G25" s="2"/>
      <c r="H25" s="2"/>
      <c r="K25" t="s">
        <v>57</v>
      </c>
    </row>
    <row r="26" spans="2:13" x14ac:dyDescent="0.25">
      <c r="C26" s="2"/>
      <c r="D26" s="2"/>
      <c r="E26" s="3"/>
      <c r="F26" s="2"/>
      <c r="G26" s="2"/>
      <c r="H26" s="2"/>
      <c r="K26">
        <f>K24/60</f>
        <v>123</v>
      </c>
    </row>
    <row r="27" spans="2:13" x14ac:dyDescent="0.25">
      <c r="C27" s="2"/>
      <c r="D27" s="2"/>
      <c r="E27" s="2"/>
      <c r="F27" s="2"/>
      <c r="G27" s="2"/>
      <c r="H27" s="2"/>
    </row>
    <row r="29" spans="2:13" x14ac:dyDescent="0.25">
      <c r="K29" t="s">
        <v>66</v>
      </c>
      <c r="M29" s="1" t="s">
        <v>61</v>
      </c>
    </row>
    <row r="30" spans="2:13" x14ac:dyDescent="0.25">
      <c r="K30" t="s">
        <v>67</v>
      </c>
      <c r="M30" s="1" t="s">
        <v>68</v>
      </c>
    </row>
    <row r="31" spans="2:13" x14ac:dyDescent="0.25">
      <c r="K31" t="s">
        <v>69</v>
      </c>
      <c r="M31" s="1" t="s">
        <v>73</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0D0FF-75C6-4F8F-8BD3-F3030DE1DBBE}">
  <dimension ref="B1:M31"/>
  <sheetViews>
    <sheetView workbookViewId="0">
      <selection activeCell="H22" sqref="H22"/>
    </sheetView>
  </sheetViews>
  <sheetFormatPr baseColWidth="10" defaultRowHeight="15" x14ac:dyDescent="0.25"/>
  <cols>
    <col min="2" max="2" width="18.7109375" bestFit="1" customWidth="1"/>
    <col min="3" max="4" width="8.5703125" bestFit="1" customWidth="1"/>
    <col min="5" max="5" width="12.28515625" customWidth="1"/>
    <col min="7" max="8" width="12.28515625" customWidth="1"/>
    <col min="12" max="12" width="12.7109375" customWidth="1"/>
  </cols>
  <sheetData>
    <row r="1" spans="2:13" x14ac:dyDescent="0.25">
      <c r="B1" s="5" t="s">
        <v>46</v>
      </c>
      <c r="C1" s="5" t="s">
        <v>47</v>
      </c>
      <c r="D1" s="5" t="s">
        <v>60</v>
      </c>
      <c r="E1" s="7" t="s">
        <v>64</v>
      </c>
      <c r="F1" s="6" t="s">
        <v>63</v>
      </c>
      <c r="G1" s="7" t="s">
        <v>65</v>
      </c>
      <c r="H1" s="6" t="s">
        <v>62</v>
      </c>
    </row>
    <row r="2" spans="2:13" x14ac:dyDescent="0.25">
      <c r="B2" s="5" t="s">
        <v>25</v>
      </c>
      <c r="C2" s="8">
        <v>2</v>
      </c>
      <c r="D2" s="8">
        <v>60</v>
      </c>
      <c r="E2" s="9"/>
      <c r="F2" s="11">
        <v>0.20833333333333334</v>
      </c>
      <c r="G2" s="9">
        <f>H3+(C2/1440)</f>
        <v>0.26458333333333317</v>
      </c>
      <c r="H2" s="4"/>
    </row>
    <row r="3" spans="2:13" x14ac:dyDescent="0.25">
      <c r="B3" s="5" t="s">
        <v>26</v>
      </c>
      <c r="C3" s="8">
        <v>2</v>
      </c>
      <c r="D3" s="8">
        <v>30</v>
      </c>
      <c r="E3" s="9">
        <f>F2+(C2/1440)</f>
        <v>0.20972222222222223</v>
      </c>
      <c r="F3" s="4">
        <f>F2+(C2/1440)+(D3/86400)</f>
        <v>0.21006944444444445</v>
      </c>
      <c r="G3" s="9">
        <f>H4+(C3/1440)</f>
        <v>0.26284722222222207</v>
      </c>
      <c r="H3" s="4">
        <f>H4+(C3/1440)+(D3/86400)</f>
        <v>0.26319444444444429</v>
      </c>
    </row>
    <row r="4" spans="2:13" x14ac:dyDescent="0.25">
      <c r="B4" s="5" t="s">
        <v>27</v>
      </c>
      <c r="C4" s="8">
        <v>2</v>
      </c>
      <c r="D4" s="8">
        <v>30</v>
      </c>
      <c r="E4" s="9">
        <f>F3+(C3/1440)</f>
        <v>0.21145833333333333</v>
      </c>
      <c r="F4" s="4">
        <f t="shared" ref="F4:F17" si="0">F3+(C3/1440)+(D4/86400)</f>
        <v>0.21180555555555555</v>
      </c>
      <c r="G4" s="9">
        <f>H5+(C4/1440)</f>
        <v>0.26111111111111096</v>
      </c>
      <c r="H4" s="4">
        <f>H5+(C4/1440)+(D4/86400)</f>
        <v>0.26145833333333318</v>
      </c>
      <c r="K4" t="s">
        <v>49</v>
      </c>
    </row>
    <row r="5" spans="2:13" x14ac:dyDescent="0.25">
      <c r="B5" s="5" t="s">
        <v>28</v>
      </c>
      <c r="C5" s="8">
        <v>2</v>
      </c>
      <c r="D5" s="8">
        <v>30</v>
      </c>
      <c r="E5" s="9">
        <f>F4+(C4/1440)</f>
        <v>0.21319444444444444</v>
      </c>
      <c r="F5" s="4">
        <f t="shared" si="0"/>
        <v>0.21354166666666666</v>
      </c>
      <c r="G5" s="9">
        <f>H6+(C5/1440)</f>
        <v>0.25937499999999986</v>
      </c>
      <c r="H5" s="4">
        <f>H6+(C5/1440)+(D5/86400)</f>
        <v>0.25972222222222208</v>
      </c>
      <c r="J5">
        <v>2</v>
      </c>
      <c r="K5" t="s">
        <v>52</v>
      </c>
      <c r="L5">
        <v>60</v>
      </c>
      <c r="M5" t="s">
        <v>50</v>
      </c>
    </row>
    <row r="6" spans="2:13" x14ac:dyDescent="0.25">
      <c r="B6" s="5" t="s">
        <v>29</v>
      </c>
      <c r="C6" s="8">
        <v>3</v>
      </c>
      <c r="D6" s="8">
        <v>30</v>
      </c>
      <c r="E6" s="9">
        <f>F5+(C5/1440)</f>
        <v>0.21493055555555554</v>
      </c>
      <c r="F6" s="4">
        <f t="shared" si="0"/>
        <v>0.21527777777777776</v>
      </c>
      <c r="G6" s="9">
        <f>H7+(C6/1440)</f>
        <v>0.25763888888888875</v>
      </c>
      <c r="H6" s="4">
        <f>H7+(C6/1440)+(D6/86400)</f>
        <v>0.25798611111111097</v>
      </c>
      <c r="J6">
        <v>22</v>
      </c>
      <c r="K6" t="s">
        <v>52</v>
      </c>
      <c r="L6">
        <v>30</v>
      </c>
      <c r="M6" t="s">
        <v>50</v>
      </c>
    </row>
    <row r="7" spans="2:13" x14ac:dyDescent="0.25">
      <c r="B7" s="5" t="s">
        <v>15</v>
      </c>
      <c r="C7" s="8">
        <v>2</v>
      </c>
      <c r="D7" s="8">
        <v>60</v>
      </c>
      <c r="E7" s="9">
        <f>F6+(C6/1440)</f>
        <v>0.21736111111111109</v>
      </c>
      <c r="F7" s="4">
        <f t="shared" si="0"/>
        <v>0.21805555555555553</v>
      </c>
      <c r="G7" s="9">
        <f>H8+(C7/1440)</f>
        <v>0.25486111111111098</v>
      </c>
      <c r="H7" s="4">
        <f>H8+(C7/1440)+(D7/86400)</f>
        <v>0.25555555555555542</v>
      </c>
      <c r="J7">
        <v>3</v>
      </c>
      <c r="K7" t="s">
        <v>52</v>
      </c>
      <c r="L7">
        <v>60</v>
      </c>
      <c r="M7" t="s">
        <v>51</v>
      </c>
    </row>
    <row r="8" spans="2:13" x14ac:dyDescent="0.25">
      <c r="B8" s="5" t="s">
        <v>30</v>
      </c>
      <c r="C8" s="8">
        <v>2</v>
      </c>
      <c r="D8" s="8">
        <v>30</v>
      </c>
      <c r="E8" s="9">
        <f>F7+(C7/1440)</f>
        <v>0.21944444444444441</v>
      </c>
      <c r="F8" s="4">
        <f t="shared" si="0"/>
        <v>0.21979166666666664</v>
      </c>
      <c r="G8" s="9">
        <f>H9+(C8/1440)</f>
        <v>0.25312499999999988</v>
      </c>
      <c r="H8" s="4">
        <f>H9+(C8/1440)+(D8/86400)</f>
        <v>0.2534722222222221</v>
      </c>
      <c r="J8">
        <v>22</v>
      </c>
      <c r="K8" t="s">
        <v>52</v>
      </c>
      <c r="L8">
        <v>30</v>
      </c>
      <c r="M8" t="s">
        <v>51</v>
      </c>
    </row>
    <row r="9" spans="2:13" x14ac:dyDescent="0.25">
      <c r="B9" s="5" t="s">
        <v>12</v>
      </c>
      <c r="C9" s="8">
        <v>2</v>
      </c>
      <c r="D9" s="8">
        <v>60</v>
      </c>
      <c r="E9" s="9">
        <f>F8+(C8/1440)</f>
        <v>0.22118055555555552</v>
      </c>
      <c r="F9" s="4">
        <f t="shared" si="0"/>
        <v>0.22187499999999996</v>
      </c>
      <c r="G9" s="9">
        <f>H10+(C9/1440)</f>
        <v>0.25104166666666655</v>
      </c>
      <c r="H9" s="4">
        <f>H10+(C9/1440)+(D9/86400)</f>
        <v>0.25173611111111099</v>
      </c>
    </row>
    <row r="10" spans="2:13" x14ac:dyDescent="0.25">
      <c r="B10" s="5" t="s">
        <v>31</v>
      </c>
      <c r="C10" s="8">
        <v>1</v>
      </c>
      <c r="D10" s="8">
        <v>30</v>
      </c>
      <c r="E10" s="9">
        <f>F9+(C9/1440)</f>
        <v>0.22326388888888885</v>
      </c>
      <c r="F10" s="4">
        <f t="shared" si="0"/>
        <v>0.22361111111111107</v>
      </c>
      <c r="G10" s="9">
        <f>H11+(C10/1440)</f>
        <v>0.24930555555555542</v>
      </c>
      <c r="H10" s="4">
        <f>H11+(C10/1440)+(D10/86400)</f>
        <v>0.24965277777777764</v>
      </c>
    </row>
    <row r="11" spans="2:13" x14ac:dyDescent="0.25">
      <c r="B11" s="5" t="s">
        <v>32</v>
      </c>
      <c r="C11" s="8">
        <v>2</v>
      </c>
      <c r="D11" s="8">
        <v>30</v>
      </c>
      <c r="E11" s="9">
        <f>F10+(C10/1440)</f>
        <v>0.22430555555555551</v>
      </c>
      <c r="F11" s="4">
        <f t="shared" si="0"/>
        <v>0.22465277777777773</v>
      </c>
      <c r="G11" s="9">
        <f>H12+(C11/1440)</f>
        <v>0.24826388888888876</v>
      </c>
      <c r="H11" s="4">
        <f>H12+(C11/1440)+(D11/86400)</f>
        <v>0.24861111111111098</v>
      </c>
    </row>
    <row r="12" spans="2:13" x14ac:dyDescent="0.25">
      <c r="B12" s="5" t="s">
        <v>33</v>
      </c>
      <c r="C12" s="8">
        <v>2</v>
      </c>
      <c r="D12" s="8">
        <v>30</v>
      </c>
      <c r="E12" s="9">
        <f>F11+(C11/1440)</f>
        <v>0.22604166666666661</v>
      </c>
      <c r="F12" s="4">
        <f t="shared" si="0"/>
        <v>0.22638888888888883</v>
      </c>
      <c r="G12" s="9">
        <f>H13+(C12/1440)</f>
        <v>0.24652777777777765</v>
      </c>
      <c r="H12" s="4">
        <f>H13+(C12/1440)+(D12/86400)</f>
        <v>0.24687499999999987</v>
      </c>
    </row>
    <row r="13" spans="2:13" x14ac:dyDescent="0.25">
      <c r="B13" s="5" t="s">
        <v>34</v>
      </c>
      <c r="C13" s="8">
        <v>2</v>
      </c>
      <c r="D13" s="8">
        <v>30</v>
      </c>
      <c r="E13" s="9">
        <f>F12+(C12/1440)</f>
        <v>0.22777777777777772</v>
      </c>
      <c r="F13" s="4">
        <f t="shared" si="0"/>
        <v>0.22812499999999994</v>
      </c>
      <c r="G13" s="9">
        <f>H14+(C13/1440)</f>
        <v>0.24479166666666655</v>
      </c>
      <c r="H13" s="4">
        <f>H14+(C13/1440)+(D13/86400)</f>
        <v>0.24513888888888877</v>
      </c>
      <c r="K13" t="s">
        <v>53</v>
      </c>
    </row>
    <row r="14" spans="2:13" x14ac:dyDescent="0.25">
      <c r="B14" s="5" t="s">
        <v>35</v>
      </c>
      <c r="C14" s="8">
        <v>3</v>
      </c>
      <c r="D14" s="8">
        <v>30</v>
      </c>
      <c r="E14" s="9">
        <f>F13+(C13/1440)</f>
        <v>0.22951388888888882</v>
      </c>
      <c r="F14" s="4">
        <f t="shared" si="0"/>
        <v>0.22986111111111104</v>
      </c>
      <c r="G14" s="9">
        <f>H15+(C14/1440)</f>
        <v>0.24305555555555544</v>
      </c>
      <c r="H14" s="4">
        <f>H15+(C14/1440)+(D14/86400)</f>
        <v>0.24340277777777766</v>
      </c>
      <c r="K14">
        <f>SUM(C2:C23)</f>
        <v>32</v>
      </c>
    </row>
    <row r="15" spans="2:13" x14ac:dyDescent="0.25">
      <c r="B15" s="5" t="s">
        <v>36</v>
      </c>
      <c r="C15" s="8">
        <v>2</v>
      </c>
      <c r="D15" s="8">
        <v>30</v>
      </c>
      <c r="E15" s="9">
        <f>F14+(C14/1440)</f>
        <v>0.23194444444444437</v>
      </c>
      <c r="F15" s="4">
        <f t="shared" si="0"/>
        <v>0.23229166666666659</v>
      </c>
      <c r="G15" s="9">
        <f>H16+(C15/1440)</f>
        <v>0.24062499999999989</v>
      </c>
      <c r="H15" s="4">
        <f>H16+(C15/1440)+(D15/86400)</f>
        <v>0.24097222222222212</v>
      </c>
      <c r="K15" t="s">
        <v>54</v>
      </c>
    </row>
    <row r="16" spans="2:13" x14ac:dyDescent="0.25">
      <c r="B16" s="5" t="s">
        <v>37</v>
      </c>
      <c r="C16" s="8">
        <v>3</v>
      </c>
      <c r="D16" s="8">
        <v>30</v>
      </c>
      <c r="E16" s="9">
        <f>F15+(C15/1440)</f>
        <v>0.23368055555555547</v>
      </c>
      <c r="F16" s="4">
        <f t="shared" si="0"/>
        <v>0.2340277777777777</v>
      </c>
      <c r="G16" s="9">
        <f>F17+(C16/1440)</f>
        <v>0.23888888888888879</v>
      </c>
      <c r="H16" s="4">
        <f>F17+(C16/1440)+(D16/86400)</f>
        <v>0.23923611111111101</v>
      </c>
      <c r="K16">
        <f>J5*L5+J6*L6</f>
        <v>780</v>
      </c>
    </row>
    <row r="17" spans="2:13" x14ac:dyDescent="0.25">
      <c r="B17" s="5" t="s">
        <v>38</v>
      </c>
      <c r="C17" s="8"/>
      <c r="D17" s="8">
        <v>60</v>
      </c>
      <c r="E17" s="9">
        <f>F16+(C16/1440)</f>
        <v>0.23611111111111102</v>
      </c>
      <c r="F17" s="4">
        <f t="shared" si="0"/>
        <v>0.23680555555555546</v>
      </c>
      <c r="G17" s="10"/>
      <c r="H17" s="10"/>
      <c r="K17" t="s">
        <v>55</v>
      </c>
    </row>
    <row r="18" spans="2:13" x14ac:dyDescent="0.25">
      <c r="C18" s="2"/>
      <c r="D18" s="2"/>
      <c r="E18" s="3"/>
      <c r="F18" s="3"/>
      <c r="G18" s="3"/>
      <c r="H18" s="3"/>
      <c r="K18">
        <f>K14*60+K16</f>
        <v>2700</v>
      </c>
    </row>
    <row r="19" spans="2:13" x14ac:dyDescent="0.25">
      <c r="C19" s="2"/>
      <c r="D19" s="2"/>
      <c r="E19" s="3"/>
      <c r="F19" s="3"/>
      <c r="G19" s="3"/>
      <c r="H19" s="3"/>
      <c r="K19" t="s">
        <v>56</v>
      </c>
    </row>
    <row r="20" spans="2:13" x14ac:dyDescent="0.25">
      <c r="C20" s="2"/>
      <c r="D20" s="2"/>
      <c r="E20" s="3"/>
      <c r="F20" s="3"/>
      <c r="G20" s="3"/>
      <c r="H20" s="3"/>
      <c r="K20">
        <f>K18/60</f>
        <v>45</v>
      </c>
    </row>
    <row r="21" spans="2:13" x14ac:dyDescent="0.25">
      <c r="C21" s="2"/>
      <c r="D21" s="2"/>
      <c r="E21" s="3"/>
      <c r="F21" s="3"/>
      <c r="G21" s="3"/>
      <c r="H21" s="3"/>
      <c r="K21" t="s">
        <v>58</v>
      </c>
    </row>
    <row r="22" spans="2:13" x14ac:dyDescent="0.25">
      <c r="C22" s="2"/>
      <c r="D22" s="2"/>
      <c r="E22" s="3"/>
      <c r="F22" s="3"/>
      <c r="G22" s="3"/>
      <c r="H22" s="3"/>
      <c r="K22">
        <f>J7*L7+J8*L8</f>
        <v>840</v>
      </c>
    </row>
    <row r="23" spans="2:13" x14ac:dyDescent="0.25">
      <c r="C23" s="2"/>
      <c r="D23" s="2"/>
      <c r="E23" s="3"/>
      <c r="F23" s="3"/>
      <c r="G23" s="3"/>
      <c r="H23" s="3"/>
      <c r="K23" t="s">
        <v>59</v>
      </c>
    </row>
    <row r="24" spans="2:13" x14ac:dyDescent="0.25">
      <c r="C24" s="2"/>
      <c r="D24" s="2"/>
      <c r="E24" s="3"/>
      <c r="F24" s="3"/>
      <c r="G24" s="3"/>
      <c r="H24" s="3"/>
      <c r="K24">
        <f>K18+K14*60+K22</f>
        <v>5460</v>
      </c>
    </row>
    <row r="25" spans="2:13" x14ac:dyDescent="0.25">
      <c r="C25" s="2"/>
      <c r="D25" s="2"/>
      <c r="E25" s="3"/>
      <c r="F25" s="2"/>
      <c r="G25" s="2"/>
      <c r="H25" s="2"/>
      <c r="K25" t="s">
        <v>57</v>
      </c>
    </row>
    <row r="26" spans="2:13" x14ac:dyDescent="0.25">
      <c r="C26" s="2"/>
      <c r="D26" s="2"/>
      <c r="E26" s="3"/>
      <c r="F26" s="2"/>
      <c r="G26" s="2"/>
      <c r="H26" s="2"/>
      <c r="K26">
        <f>K24/60</f>
        <v>91</v>
      </c>
    </row>
    <row r="27" spans="2:13" x14ac:dyDescent="0.25">
      <c r="C27" s="2"/>
      <c r="D27" s="2"/>
      <c r="E27" s="2"/>
      <c r="F27" s="2"/>
      <c r="G27" s="2"/>
      <c r="H27" s="2"/>
    </row>
    <row r="29" spans="2:13" x14ac:dyDescent="0.25">
      <c r="K29" t="s">
        <v>66</v>
      </c>
      <c r="M29" s="1" t="s">
        <v>61</v>
      </c>
    </row>
    <row r="30" spans="2:13" x14ac:dyDescent="0.25">
      <c r="K30" t="s">
        <v>67</v>
      </c>
      <c r="M30" s="1" t="s">
        <v>68</v>
      </c>
    </row>
    <row r="31" spans="2:13" x14ac:dyDescent="0.25">
      <c r="K31" t="s">
        <v>69</v>
      </c>
      <c r="M31">
        <f>H23+(C22/1440)+(D22/86400)</f>
        <v>0</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922FB-9599-49FB-8C5B-9D658C0FB626}">
  <dimension ref="B1:M31"/>
  <sheetViews>
    <sheetView tabSelected="1" workbookViewId="0">
      <selection activeCell="I19" sqref="I19"/>
    </sheetView>
  </sheetViews>
  <sheetFormatPr baseColWidth="10" defaultRowHeight="15" x14ac:dyDescent="0.25"/>
  <cols>
    <col min="2" max="2" width="18.7109375" bestFit="1" customWidth="1"/>
    <col min="3" max="4" width="8.5703125" bestFit="1" customWidth="1"/>
    <col min="5" max="5" width="12.28515625" customWidth="1"/>
    <col min="7" max="8" width="12.28515625" customWidth="1"/>
    <col min="12" max="12" width="12.7109375" customWidth="1"/>
  </cols>
  <sheetData>
    <row r="1" spans="2:13" x14ac:dyDescent="0.25">
      <c r="B1" s="5" t="s">
        <v>46</v>
      </c>
      <c r="C1" s="5" t="s">
        <v>47</v>
      </c>
      <c r="D1" s="5" t="s">
        <v>60</v>
      </c>
      <c r="E1" s="7" t="s">
        <v>64</v>
      </c>
      <c r="F1" s="6" t="s">
        <v>63</v>
      </c>
      <c r="G1" s="7" t="s">
        <v>65</v>
      </c>
      <c r="H1" s="6" t="s">
        <v>62</v>
      </c>
    </row>
    <row r="2" spans="2:13" x14ac:dyDescent="0.25">
      <c r="B2" s="5" t="s">
        <v>40</v>
      </c>
      <c r="C2" s="8">
        <v>4</v>
      </c>
      <c r="D2" s="8">
        <v>60</v>
      </c>
      <c r="E2" s="9"/>
      <c r="F2" s="11">
        <v>0.20833333333333334</v>
      </c>
      <c r="G2" s="9">
        <f>H3+(C2/1440)</f>
        <v>0.24826388888888876</v>
      </c>
      <c r="H2" s="4"/>
    </row>
    <row r="3" spans="2:13" x14ac:dyDescent="0.25">
      <c r="B3" s="5" t="s">
        <v>41</v>
      </c>
      <c r="C3" s="8">
        <v>2</v>
      </c>
      <c r="D3" s="8">
        <v>30</v>
      </c>
      <c r="E3" s="9">
        <f>F2+(C2/1440)</f>
        <v>0.21111111111111111</v>
      </c>
      <c r="F3" s="4">
        <f>F2+(C2/1440)+(D3/86400)</f>
        <v>0.21145833333333333</v>
      </c>
      <c r="G3" s="9">
        <f>H4+(C3/1440)</f>
        <v>0.24513888888888877</v>
      </c>
      <c r="H3" s="4">
        <f t="shared" ref="H3:H10" si="0">H4+(C3/1440)+(D3/86400)</f>
        <v>0.24548611111111099</v>
      </c>
    </row>
    <row r="4" spans="2:13" x14ac:dyDescent="0.25">
      <c r="B4" s="5" t="s">
        <v>29</v>
      </c>
      <c r="C4" s="8">
        <v>3</v>
      </c>
      <c r="D4" s="8">
        <v>30</v>
      </c>
      <c r="E4" s="9">
        <f>F3+(C3/1440)</f>
        <v>0.21284722222222222</v>
      </c>
      <c r="F4" s="4">
        <f t="shared" ref="F4:F12" si="1">F3+(C3/1440)+(D4/86400)</f>
        <v>0.21319444444444444</v>
      </c>
      <c r="G4" s="9">
        <f>H5+(C4/1440)</f>
        <v>0.24340277777777766</v>
      </c>
      <c r="H4" s="4">
        <f t="shared" si="0"/>
        <v>0.24374999999999988</v>
      </c>
      <c r="K4" t="s">
        <v>49</v>
      </c>
    </row>
    <row r="5" spans="2:13" x14ac:dyDescent="0.25">
      <c r="B5" s="5" t="s">
        <v>15</v>
      </c>
      <c r="C5" s="8">
        <v>2</v>
      </c>
      <c r="D5" s="8">
        <v>30</v>
      </c>
      <c r="E5" s="9">
        <f>F4+(C4/1440)</f>
        <v>0.21527777777777776</v>
      </c>
      <c r="F5" s="4">
        <f t="shared" si="1"/>
        <v>0.21562499999999998</v>
      </c>
      <c r="G5" s="9">
        <f>H6+(C5/1440)</f>
        <v>0.24097222222222212</v>
      </c>
      <c r="H5" s="4">
        <f t="shared" si="0"/>
        <v>0.24131944444444434</v>
      </c>
      <c r="J5">
        <v>2</v>
      </c>
      <c r="K5" t="s">
        <v>52</v>
      </c>
      <c r="L5">
        <v>60</v>
      </c>
      <c r="M5" t="s">
        <v>50</v>
      </c>
    </row>
    <row r="6" spans="2:13" x14ac:dyDescent="0.25">
      <c r="B6" s="5" t="s">
        <v>30</v>
      </c>
      <c r="C6" s="8">
        <v>2</v>
      </c>
      <c r="D6" s="8">
        <v>30</v>
      </c>
      <c r="E6" s="9">
        <f>F5+(C5/1440)</f>
        <v>0.21701388888888887</v>
      </c>
      <c r="F6" s="4">
        <f t="shared" si="1"/>
        <v>0.21736111111111109</v>
      </c>
      <c r="G6" s="9">
        <f>H7+(C6/1440)</f>
        <v>0.23923611111111101</v>
      </c>
      <c r="H6" s="4">
        <f t="shared" si="0"/>
        <v>0.23958333333333323</v>
      </c>
      <c r="J6">
        <v>22</v>
      </c>
      <c r="K6" t="s">
        <v>52</v>
      </c>
      <c r="L6">
        <v>30</v>
      </c>
      <c r="M6" t="s">
        <v>50</v>
      </c>
    </row>
    <row r="7" spans="2:13" x14ac:dyDescent="0.25">
      <c r="B7" s="5" t="s">
        <v>12</v>
      </c>
      <c r="C7" s="8">
        <v>2</v>
      </c>
      <c r="D7" s="8">
        <v>60</v>
      </c>
      <c r="E7" s="9">
        <f>F6+(C6/1440)</f>
        <v>0.21874999999999997</v>
      </c>
      <c r="F7" s="4">
        <f t="shared" si="1"/>
        <v>0.21944444444444441</v>
      </c>
      <c r="G7" s="9">
        <f>H8+(C7/1440)</f>
        <v>0.23715277777777768</v>
      </c>
      <c r="H7" s="4">
        <f t="shared" si="0"/>
        <v>0.23784722222222213</v>
      </c>
      <c r="J7">
        <v>3</v>
      </c>
      <c r="K7" t="s">
        <v>52</v>
      </c>
      <c r="L7">
        <v>60</v>
      </c>
      <c r="M7" t="s">
        <v>51</v>
      </c>
    </row>
    <row r="8" spans="2:13" x14ac:dyDescent="0.25">
      <c r="B8" s="5" t="s">
        <v>31</v>
      </c>
      <c r="C8" s="8">
        <v>1</v>
      </c>
      <c r="D8" s="8">
        <v>30</v>
      </c>
      <c r="E8" s="9">
        <f>F7+(C7/1440)</f>
        <v>0.2208333333333333</v>
      </c>
      <c r="F8" s="4">
        <f t="shared" si="1"/>
        <v>0.22118055555555552</v>
      </c>
      <c r="G8" s="9">
        <f>H9+(C8/1440)</f>
        <v>0.23541666666666658</v>
      </c>
      <c r="H8" s="4">
        <f t="shared" si="0"/>
        <v>0.2357638888888888</v>
      </c>
      <c r="J8">
        <v>22</v>
      </c>
      <c r="K8" t="s">
        <v>52</v>
      </c>
      <c r="L8">
        <v>30</v>
      </c>
      <c r="M8" t="s">
        <v>51</v>
      </c>
    </row>
    <row r="9" spans="2:13" x14ac:dyDescent="0.25">
      <c r="B9" s="5" t="s">
        <v>32</v>
      </c>
      <c r="C9" s="8">
        <v>2</v>
      </c>
      <c r="D9" s="8">
        <v>60</v>
      </c>
      <c r="E9" s="9">
        <f>F8+(C8/1440)</f>
        <v>0.22187499999999996</v>
      </c>
      <c r="F9" s="4">
        <f t="shared" si="1"/>
        <v>0.2225694444444444</v>
      </c>
      <c r="G9" s="9">
        <f>H10+(C9/1440)</f>
        <v>0.2340277777777777</v>
      </c>
      <c r="H9" s="4">
        <f t="shared" si="0"/>
        <v>0.23472222222222214</v>
      </c>
    </row>
    <row r="10" spans="2:13" x14ac:dyDescent="0.25">
      <c r="B10" s="5" t="s">
        <v>42</v>
      </c>
      <c r="C10" s="8">
        <v>3</v>
      </c>
      <c r="D10" s="8">
        <v>30</v>
      </c>
      <c r="E10" s="9">
        <f>F9+(C9/1440)</f>
        <v>0.22395833333333329</v>
      </c>
      <c r="F10" s="4">
        <f t="shared" si="1"/>
        <v>0.22430555555555551</v>
      </c>
      <c r="G10" s="9">
        <f>H11+(C10/1440)</f>
        <v>0.23229166666666659</v>
      </c>
      <c r="H10" s="4">
        <f t="shared" si="0"/>
        <v>0.23263888888888881</v>
      </c>
    </row>
    <row r="11" spans="2:13" x14ac:dyDescent="0.25">
      <c r="B11" s="5" t="s">
        <v>43</v>
      </c>
      <c r="C11" s="8">
        <v>2</v>
      </c>
      <c r="D11" s="8">
        <v>30</v>
      </c>
      <c r="E11" s="9">
        <f>F10+(C10/1440)</f>
        <v>0.22638888888888883</v>
      </c>
      <c r="F11" s="4">
        <f t="shared" si="1"/>
        <v>0.22673611111111105</v>
      </c>
      <c r="G11" s="9">
        <f>F12+(C11/1440)</f>
        <v>0.22986111111111104</v>
      </c>
      <c r="H11" s="4">
        <f>F12+(C11/1440)+(D11/86400)</f>
        <v>0.23020833333333326</v>
      </c>
    </row>
    <row r="12" spans="2:13" x14ac:dyDescent="0.25">
      <c r="B12" s="5" t="s">
        <v>44</v>
      </c>
      <c r="C12" s="8"/>
      <c r="D12" s="8">
        <v>30</v>
      </c>
      <c r="E12" s="9">
        <f>F11+(C11/1440)</f>
        <v>0.22812499999999994</v>
      </c>
      <c r="F12" s="4">
        <f t="shared" si="1"/>
        <v>0.22847222222222216</v>
      </c>
      <c r="G12" s="10"/>
      <c r="H12" s="10"/>
    </row>
    <row r="13" spans="2:13" x14ac:dyDescent="0.25">
      <c r="C13" s="2"/>
      <c r="D13" s="2"/>
      <c r="E13" s="3"/>
      <c r="F13" s="3"/>
      <c r="G13" s="3"/>
      <c r="H13" s="3"/>
      <c r="K13" t="s">
        <v>53</v>
      </c>
    </row>
    <row r="14" spans="2:13" x14ac:dyDescent="0.25">
      <c r="C14" s="2"/>
      <c r="D14" s="2"/>
      <c r="E14" s="3"/>
      <c r="F14" s="3"/>
      <c r="G14" s="3"/>
      <c r="H14" s="3"/>
      <c r="K14">
        <f>SUM(C2:C23)</f>
        <v>23</v>
      </c>
    </row>
    <row r="15" spans="2:13" x14ac:dyDescent="0.25">
      <c r="C15" s="2"/>
      <c r="D15" s="2"/>
      <c r="E15" s="3"/>
      <c r="F15" s="3"/>
      <c r="G15" s="3"/>
      <c r="H15" s="3"/>
      <c r="K15" t="s">
        <v>54</v>
      </c>
    </row>
    <row r="16" spans="2:13" x14ac:dyDescent="0.25">
      <c r="C16" s="2"/>
      <c r="D16" s="2"/>
      <c r="E16" s="3"/>
      <c r="F16" s="3"/>
      <c r="G16" s="3"/>
      <c r="H16" s="3"/>
      <c r="K16">
        <f>J5*L5+J6*L6</f>
        <v>780</v>
      </c>
    </row>
    <row r="17" spans="3:13" x14ac:dyDescent="0.25">
      <c r="C17" s="2"/>
      <c r="D17" s="2"/>
      <c r="E17" s="3"/>
      <c r="F17" s="3"/>
      <c r="G17" s="3"/>
      <c r="H17" s="3"/>
      <c r="K17" t="s">
        <v>55</v>
      </c>
    </row>
    <row r="18" spans="3:13" x14ac:dyDescent="0.25">
      <c r="C18" s="2"/>
      <c r="D18" s="2"/>
      <c r="E18" s="3"/>
      <c r="F18" s="3"/>
      <c r="G18" s="3"/>
      <c r="H18" s="3"/>
      <c r="K18">
        <f>K14*60+K16</f>
        <v>2160</v>
      </c>
    </row>
    <row r="19" spans="3:13" x14ac:dyDescent="0.25">
      <c r="C19" s="2"/>
      <c r="D19" s="2"/>
      <c r="E19" s="3"/>
      <c r="F19" s="3"/>
      <c r="G19" s="3"/>
      <c r="H19" s="3"/>
      <c r="K19" t="s">
        <v>56</v>
      </c>
    </row>
    <row r="20" spans="3:13" x14ac:dyDescent="0.25">
      <c r="C20" s="2"/>
      <c r="D20" s="2"/>
      <c r="E20" s="3"/>
      <c r="F20" s="3"/>
      <c r="G20" s="3"/>
      <c r="H20" s="3"/>
      <c r="K20">
        <f>K18/60</f>
        <v>36</v>
      </c>
    </row>
    <row r="21" spans="3:13" x14ac:dyDescent="0.25">
      <c r="C21" s="2"/>
      <c r="D21" s="2"/>
      <c r="E21" s="3"/>
      <c r="F21" s="3"/>
      <c r="G21" s="3"/>
      <c r="H21" s="3"/>
      <c r="K21" t="s">
        <v>58</v>
      </c>
    </row>
    <row r="22" spans="3:13" x14ac:dyDescent="0.25">
      <c r="C22" s="2"/>
      <c r="D22" s="2"/>
      <c r="E22" s="3"/>
      <c r="F22" s="3"/>
      <c r="G22" s="3"/>
      <c r="H22" s="3"/>
      <c r="K22">
        <f>J7*L7+J8*L8</f>
        <v>840</v>
      </c>
    </row>
    <row r="23" spans="3:13" x14ac:dyDescent="0.25">
      <c r="C23" s="2"/>
      <c r="D23" s="2"/>
      <c r="E23" s="3"/>
      <c r="F23" s="3"/>
      <c r="G23" s="3"/>
      <c r="H23" s="3"/>
      <c r="K23" t="s">
        <v>59</v>
      </c>
    </row>
    <row r="24" spans="3:13" x14ac:dyDescent="0.25">
      <c r="C24" s="2"/>
      <c r="D24" s="2"/>
      <c r="E24" s="3"/>
      <c r="F24" s="3"/>
      <c r="G24" s="3"/>
      <c r="H24" s="3"/>
      <c r="K24">
        <f>K18+K14*60+K22</f>
        <v>4380</v>
      </c>
    </row>
    <row r="25" spans="3:13" x14ac:dyDescent="0.25">
      <c r="C25" s="2"/>
      <c r="D25" s="2"/>
      <c r="E25" s="3"/>
      <c r="F25" s="2"/>
      <c r="G25" s="2"/>
      <c r="H25" s="2"/>
      <c r="K25" t="s">
        <v>57</v>
      </c>
    </row>
    <row r="26" spans="3:13" x14ac:dyDescent="0.25">
      <c r="C26" s="2"/>
      <c r="D26" s="2"/>
      <c r="E26" s="3"/>
      <c r="F26" s="2"/>
      <c r="G26" s="2"/>
      <c r="H26" s="2"/>
      <c r="K26">
        <f>K24/60</f>
        <v>73</v>
      </c>
    </row>
    <row r="27" spans="3:13" x14ac:dyDescent="0.25">
      <c r="C27" s="2"/>
      <c r="D27" s="2"/>
      <c r="E27" s="2"/>
      <c r="F27" s="2"/>
      <c r="G27" s="2"/>
      <c r="H27" s="2"/>
    </row>
    <row r="29" spans="3:13" x14ac:dyDescent="0.25">
      <c r="K29" t="s">
        <v>66</v>
      </c>
      <c r="M29" s="1" t="s">
        <v>61</v>
      </c>
    </row>
    <row r="30" spans="3:13" x14ac:dyDescent="0.25">
      <c r="K30" t="s">
        <v>67</v>
      </c>
      <c r="M30" s="1" t="s">
        <v>68</v>
      </c>
    </row>
    <row r="31" spans="3:13" x14ac:dyDescent="0.25">
      <c r="K31" t="s">
        <v>69</v>
      </c>
      <c r="M31">
        <f>H23+(C22/1440)+(D22/86400)</f>
        <v>0</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CDF6B3-30C4-4CDA-B8DC-6C10869F9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Anleitung</vt:lpstr>
      <vt:lpstr>U-Bahn Haltestellen</vt:lpstr>
      <vt:lpstr>Fahrplan U1</vt:lpstr>
      <vt:lpstr>Fahrplan U2</vt:lpstr>
      <vt:lpstr>Fahrplan U3</vt:lpstr>
      <vt:lpstr>U1-Test</vt:lpstr>
      <vt:lpstr>U2-Test</vt:lpstr>
      <vt:lpstr>U3-Test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Zoch, Johannes</dc:creator>
  <cp:lastModifiedBy>Zoch, Johannes</cp:lastModifiedBy>
  <dcterms:created xsi:type="dcterms:W3CDTF">2026-01-21T10:18:23Z</dcterms:created>
  <dcterms:modified xsi:type="dcterms:W3CDTF">2026-02-19T08:33:17Z</dcterms:modified>
</cp:coreProperties>
</file>